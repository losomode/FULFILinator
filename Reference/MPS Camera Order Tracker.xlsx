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ryan/opt/sighthound/OrderManagement/Reference/"/>
    </mc:Choice>
  </mc:AlternateContent>
  <xr:revisionPtr revIDLastSave="0" documentId="8_{C97B52A1-E227-F245-9801-881DCEC8B0BD}" xr6:coauthVersionLast="47" xr6:coauthVersionMax="47" xr10:uidLastSave="{00000000-0000-0000-0000-000000000000}"/>
  <bookViews>
    <workbookView xWindow="720" yWindow="760" windowWidth="29520" windowHeight="18880" xr2:uid="{00000000-000D-0000-FFFF-FFFF00000000}"/>
  </bookViews>
  <sheets>
    <sheet name="PO 2025 1H (200 cameras, 16 Nod" sheetId="1" r:id="rId1"/>
    <sheet name="PO 23-24 500" sheetId="2" r:id="rId2"/>
    <sheet name="33122"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4" i="3" l="1"/>
  <c r="N74" i="3"/>
  <c r="M74" i="3"/>
  <c r="L74" i="3"/>
  <c r="K74" i="3"/>
  <c r="J74" i="3"/>
  <c r="I74" i="3"/>
  <c r="H74" i="3"/>
  <c r="G74" i="3"/>
  <c r="F74" i="3"/>
  <c r="E74" i="3"/>
  <c r="D74" i="3"/>
  <c r="C74" i="3"/>
  <c r="N73" i="3"/>
  <c r="M73" i="3"/>
  <c r="L73" i="3"/>
  <c r="K73" i="3"/>
  <c r="J73" i="3"/>
  <c r="I73" i="3"/>
  <c r="H73" i="3"/>
  <c r="G73" i="3"/>
  <c r="F73" i="3"/>
  <c r="E73" i="3"/>
  <c r="D73" i="3"/>
  <c r="C73" i="3"/>
  <c r="T73" i="3" s="1"/>
  <c r="N72" i="3"/>
  <c r="M72" i="3"/>
  <c r="L72" i="3"/>
  <c r="K72" i="3"/>
  <c r="J72" i="3"/>
  <c r="I72" i="3"/>
  <c r="H72" i="3"/>
  <c r="G72" i="3"/>
  <c r="F72" i="3"/>
  <c r="E72" i="3"/>
  <c r="D72" i="3"/>
  <c r="C72" i="3"/>
  <c r="T72" i="3" s="1"/>
  <c r="U74" i="3" s="1"/>
  <c r="T70" i="3"/>
  <c r="N68" i="3"/>
  <c r="M68" i="3"/>
  <c r="L68" i="3"/>
  <c r="K68" i="3"/>
  <c r="J68" i="3"/>
  <c r="I68" i="3"/>
  <c r="H68" i="3"/>
  <c r="G68" i="3"/>
  <c r="F68" i="3"/>
  <c r="E68" i="3"/>
  <c r="D68" i="3"/>
  <c r="C68" i="3"/>
  <c r="T68" i="3" s="1"/>
  <c r="N67" i="3"/>
  <c r="M67" i="3"/>
  <c r="L67" i="3"/>
  <c r="K67" i="3"/>
  <c r="J67" i="3"/>
  <c r="I67" i="3"/>
  <c r="H67" i="3"/>
  <c r="T67" i="3" s="1"/>
  <c r="G67" i="3"/>
  <c r="F67" i="3"/>
  <c r="E67" i="3"/>
  <c r="D67" i="3"/>
  <c r="C67" i="3"/>
  <c r="T66" i="3"/>
  <c r="U68" i="3" s="1"/>
  <c r="N66" i="3"/>
  <c r="M66" i="3"/>
  <c r="L66" i="3"/>
  <c r="K66" i="3"/>
  <c r="J66" i="3"/>
  <c r="I66" i="3"/>
  <c r="H66" i="3"/>
  <c r="G66" i="3"/>
  <c r="F66" i="3"/>
  <c r="E66" i="3"/>
  <c r="D66" i="3"/>
  <c r="C66" i="3"/>
  <c r="T61" i="3"/>
  <c r="T58" i="3"/>
  <c r="T57" i="3"/>
  <c r="G51" i="3"/>
  <c r="I51" i="3" s="1"/>
  <c r="G50" i="3"/>
  <c r="I50" i="3" s="1"/>
  <c r="G49" i="3"/>
  <c r="D49" i="3"/>
  <c r="E49" i="3" s="1"/>
  <c r="G48" i="3"/>
  <c r="I48" i="3" s="1"/>
  <c r="G47" i="3"/>
  <c r="I47" i="3" s="1"/>
  <c r="G46" i="3"/>
  <c r="D46" i="3"/>
  <c r="E46" i="3" s="1"/>
  <c r="G45" i="3"/>
  <c r="I45" i="3" s="1"/>
  <c r="G44" i="3"/>
  <c r="I44" i="3" s="1"/>
  <c r="G43" i="3"/>
  <c r="E43" i="3"/>
  <c r="G42" i="3"/>
  <c r="I42" i="3" s="1"/>
  <c r="D41" i="3"/>
  <c r="G41" i="3" s="1"/>
  <c r="E40" i="3"/>
  <c r="D38" i="3"/>
  <c r="E37" i="3"/>
  <c r="E9" i="3" s="1"/>
  <c r="E10" i="3" s="1"/>
  <c r="D35" i="3"/>
  <c r="E34" i="3"/>
  <c r="G33" i="3"/>
  <c r="I33" i="3" s="1"/>
  <c r="D32" i="3"/>
  <c r="G32" i="3" s="1"/>
  <c r="E31" i="3"/>
  <c r="G30" i="3"/>
  <c r="I30" i="3" s="1"/>
  <c r="G29" i="3"/>
  <c r="I29" i="3" s="1"/>
  <c r="D28" i="3"/>
  <c r="G28" i="3" s="1"/>
  <c r="E27" i="3"/>
  <c r="D25" i="3"/>
  <c r="E24" i="3"/>
  <c r="D22" i="3"/>
  <c r="E21" i="3"/>
  <c r="D19" i="3"/>
  <c r="E18" i="3"/>
  <c r="J18" i="3" s="1"/>
  <c r="J13" i="3" s="1"/>
  <c r="J9" i="3" s="1"/>
  <c r="J10" i="3" s="1"/>
  <c r="F17" i="3"/>
  <c r="G17" i="3" s="1"/>
  <c r="I17" i="3" s="1"/>
  <c r="L13" i="3"/>
  <c r="K13" i="3"/>
  <c r="J11" i="3"/>
  <c r="L7" i="3"/>
  <c r="E7" i="3"/>
  <c r="E2" i="3"/>
  <c r="O105" i="2"/>
  <c r="N105" i="2"/>
  <c r="M105" i="2"/>
  <c r="L105" i="2"/>
  <c r="J105" i="2"/>
  <c r="I105" i="2"/>
  <c r="H105" i="2"/>
  <c r="G105" i="2"/>
  <c r="E105" i="2"/>
  <c r="D105" i="2"/>
  <c r="C105" i="2"/>
  <c r="W105" i="2" s="1"/>
  <c r="O104" i="2"/>
  <c r="N104" i="2"/>
  <c r="M104" i="2"/>
  <c r="L104" i="2"/>
  <c r="J104" i="2"/>
  <c r="I104" i="2"/>
  <c r="H104" i="2"/>
  <c r="G104" i="2"/>
  <c r="E104" i="2"/>
  <c r="D104" i="2"/>
  <c r="C104" i="2"/>
  <c r="W104" i="2" s="1"/>
  <c r="O103" i="2"/>
  <c r="N103" i="2"/>
  <c r="M103" i="2"/>
  <c r="L103" i="2"/>
  <c r="J103" i="2"/>
  <c r="I103" i="2"/>
  <c r="H103" i="2"/>
  <c r="G103" i="2"/>
  <c r="E103" i="2"/>
  <c r="D103" i="2"/>
  <c r="C103" i="2"/>
  <c r="W103" i="2" s="1"/>
  <c r="X105" i="2" s="1"/>
  <c r="W101" i="2"/>
  <c r="S99" i="2"/>
  <c r="O99" i="2"/>
  <c r="N99" i="2"/>
  <c r="M99" i="2"/>
  <c r="L99" i="2"/>
  <c r="J99" i="2"/>
  <c r="I99" i="2"/>
  <c r="H99" i="2"/>
  <c r="G99" i="2"/>
  <c r="E99" i="2"/>
  <c r="D99" i="2"/>
  <c r="C99" i="2"/>
  <c r="W99" i="2" s="1"/>
  <c r="W98" i="2"/>
  <c r="S98" i="2"/>
  <c r="O98" i="2"/>
  <c r="N98" i="2"/>
  <c r="M98" i="2"/>
  <c r="L98" i="2"/>
  <c r="J98" i="2"/>
  <c r="I98" i="2"/>
  <c r="H98" i="2"/>
  <c r="G98" i="2"/>
  <c r="E98" i="2"/>
  <c r="D98" i="2"/>
  <c r="C98" i="2"/>
  <c r="O97" i="2"/>
  <c r="N97" i="2"/>
  <c r="M97" i="2"/>
  <c r="L97" i="2"/>
  <c r="J97" i="2"/>
  <c r="I97" i="2"/>
  <c r="H97" i="2"/>
  <c r="G97" i="2"/>
  <c r="E97" i="2"/>
  <c r="D97" i="2"/>
  <c r="C97" i="2"/>
  <c r="O96" i="2"/>
  <c r="N96" i="2"/>
  <c r="M96" i="2"/>
  <c r="L96" i="2"/>
  <c r="J96" i="2"/>
  <c r="I96" i="2"/>
  <c r="H96" i="2"/>
  <c r="G96" i="2"/>
  <c r="E96" i="2"/>
  <c r="D96" i="2"/>
  <c r="C96" i="2"/>
  <c r="S94" i="2"/>
  <c r="W94" i="2" s="1"/>
  <c r="S93" i="2"/>
  <c r="W93" i="2" s="1"/>
  <c r="S92" i="2"/>
  <c r="S91" i="2"/>
  <c r="E72" i="2"/>
  <c r="E71" i="2"/>
  <c r="D70" i="2"/>
  <c r="E70" i="2" s="1"/>
  <c r="G69" i="2"/>
  <c r="E69" i="2"/>
  <c r="G68" i="2"/>
  <c r="E68" i="2"/>
  <c r="G67" i="2"/>
  <c r="E67" i="2"/>
  <c r="G65" i="2"/>
  <c r="E65" i="2"/>
  <c r="E64" i="2"/>
  <c r="G55" i="2"/>
  <c r="H55" i="2" s="1"/>
  <c r="H54" i="2"/>
  <c r="H53" i="2" s="1"/>
  <c r="G54" i="2"/>
  <c r="G49" i="2"/>
  <c r="G50" i="2" s="1"/>
  <c r="D49" i="2"/>
  <c r="H49" i="2" s="1"/>
  <c r="J49" i="2" s="1"/>
  <c r="H48" i="2"/>
  <c r="J48" i="2" s="1"/>
  <c r="H47" i="2"/>
  <c r="J47" i="2" s="1"/>
  <c r="G46" i="2"/>
  <c r="H46" i="2" s="1"/>
  <c r="G43" i="2"/>
  <c r="H43" i="2" s="1"/>
  <c r="G41" i="2"/>
  <c r="H41" i="2" s="1"/>
  <c r="G40" i="2"/>
  <c r="H39" i="2"/>
  <c r="H38" i="2"/>
  <c r="Q37" i="2"/>
  <c r="G37" i="2"/>
  <c r="H37" i="2" s="1"/>
  <c r="H36" i="2" s="1"/>
  <c r="Q36" i="2"/>
  <c r="G35" i="2"/>
  <c r="H35" i="2" s="1"/>
  <c r="J35" i="2" s="1"/>
  <c r="G32" i="2"/>
  <c r="M31" i="2"/>
  <c r="Q28" i="2"/>
  <c r="M28" i="2"/>
  <c r="M14" i="2" s="1"/>
  <c r="L10" i="2" s="1"/>
  <c r="G28" i="2"/>
  <c r="G31" i="2" s="1"/>
  <c r="H31" i="2" s="1"/>
  <c r="D28" i="2"/>
  <c r="H28" i="2" s="1"/>
  <c r="Q27" i="2"/>
  <c r="E27" i="2"/>
  <c r="G25" i="2"/>
  <c r="G24" i="2"/>
  <c r="D24" i="2"/>
  <c r="H24" i="2" s="1"/>
  <c r="Q23" i="2"/>
  <c r="E23" i="2"/>
  <c r="G22" i="2"/>
  <c r="L21" i="2"/>
  <c r="G21" i="2"/>
  <c r="H21" i="2" s="1"/>
  <c r="L20" i="2"/>
  <c r="G20" i="2"/>
  <c r="H20" i="2" s="1"/>
  <c r="J20" i="2" s="1"/>
  <c r="D19" i="2"/>
  <c r="E18" i="2"/>
  <c r="G17" i="2"/>
  <c r="H17" i="2" s="1"/>
  <c r="J17" i="2" s="1"/>
  <c r="O14" i="2"/>
  <c r="S13" i="2"/>
  <c r="O10" i="2"/>
  <c r="Q10" i="2" s="1"/>
  <c r="N10" i="2"/>
  <c r="N7" i="2"/>
  <c r="E7" i="2"/>
  <c r="E2" i="2"/>
  <c r="K126" i="1"/>
  <c r="J126" i="1"/>
  <c r="I126" i="1"/>
  <c r="H126" i="1"/>
  <c r="F126" i="1"/>
  <c r="E126" i="1"/>
  <c r="D126" i="1"/>
  <c r="T126" i="1" s="1"/>
  <c r="K125" i="1"/>
  <c r="T125" i="1" s="1"/>
  <c r="J125" i="1"/>
  <c r="I125" i="1"/>
  <c r="H125" i="1"/>
  <c r="F125" i="1"/>
  <c r="E125" i="1"/>
  <c r="D125" i="1"/>
  <c r="K124" i="1"/>
  <c r="J124" i="1"/>
  <c r="I124" i="1"/>
  <c r="H124" i="1"/>
  <c r="F124" i="1"/>
  <c r="E124" i="1"/>
  <c r="D124" i="1"/>
  <c r="T124" i="1" s="1"/>
  <c r="U126" i="1" s="1"/>
  <c r="T122" i="1"/>
  <c r="K120" i="1"/>
  <c r="J120" i="1"/>
  <c r="I120" i="1"/>
  <c r="H120" i="1"/>
  <c r="F120" i="1"/>
  <c r="E120" i="1"/>
  <c r="D120" i="1"/>
  <c r="T120" i="1" s="1"/>
  <c r="K119" i="1"/>
  <c r="J119" i="1"/>
  <c r="I119" i="1"/>
  <c r="H119" i="1"/>
  <c r="F119" i="1"/>
  <c r="E119" i="1"/>
  <c r="D119" i="1"/>
  <c r="T119" i="1" s="1"/>
  <c r="K118" i="1"/>
  <c r="J118" i="1"/>
  <c r="I118" i="1"/>
  <c r="H118" i="1"/>
  <c r="F118" i="1"/>
  <c r="E118" i="1"/>
  <c r="D118" i="1"/>
  <c r="T118" i="1" s="1"/>
  <c r="U120" i="1" s="1"/>
  <c r="K117" i="1"/>
  <c r="J117" i="1"/>
  <c r="I117" i="1"/>
  <c r="H117" i="1"/>
  <c r="F117" i="1"/>
  <c r="E117" i="1"/>
  <c r="D117" i="1"/>
  <c r="T117" i="1" s="1"/>
  <c r="U119" i="1" s="1"/>
  <c r="T115" i="1"/>
  <c r="T114" i="1"/>
  <c r="T113" i="1"/>
  <c r="T112" i="1"/>
  <c r="H46" i="1"/>
  <c r="I46" i="1" s="1"/>
  <c r="H45" i="1"/>
  <c r="I45" i="1" s="1"/>
  <c r="K45" i="1" s="1"/>
  <c r="H44" i="1"/>
  <c r="I44" i="1" s="1"/>
  <c r="K44" i="1" s="1"/>
  <c r="H43" i="1"/>
  <c r="I43" i="1" s="1"/>
  <c r="K43" i="1" s="1"/>
  <c r="H42" i="1"/>
  <c r="I42" i="1" s="1"/>
  <c r="K42" i="1" s="1"/>
  <c r="H41" i="1"/>
  <c r="I41" i="1" s="1"/>
  <c r="H40" i="1"/>
  <c r="I40" i="1" s="1"/>
  <c r="K40" i="1" s="1"/>
  <c r="H39" i="1"/>
  <c r="I39" i="1" s="1"/>
  <c r="H38" i="1"/>
  <c r="I38" i="1" s="1"/>
  <c r="K38" i="1" s="1"/>
  <c r="H37" i="1"/>
  <c r="I37" i="1" s="1"/>
  <c r="H36" i="1"/>
  <c r="I36" i="1" s="1"/>
  <c r="H35" i="1"/>
  <c r="I35" i="1" s="1"/>
  <c r="H34" i="1"/>
  <c r="I34" i="1" s="1"/>
  <c r="H33" i="1"/>
  <c r="I33" i="1" s="1"/>
  <c r="K33" i="1" s="1"/>
  <c r="H32" i="1"/>
  <c r="I32" i="1" s="1"/>
  <c r="H31" i="1"/>
  <c r="I31" i="1" s="1"/>
  <c r="H30" i="1"/>
  <c r="I30" i="1" s="1"/>
  <c r="K30" i="1" s="1"/>
  <c r="H29" i="1"/>
  <c r="I29" i="1" s="1"/>
  <c r="K29" i="1" s="1"/>
  <c r="H28" i="1"/>
  <c r="I28" i="1" s="1"/>
  <c r="K28" i="1" s="1"/>
  <c r="H27" i="1"/>
  <c r="I27" i="1" s="1"/>
  <c r="K27" i="1" s="1"/>
  <c r="H26" i="1"/>
  <c r="I26" i="1" s="1"/>
  <c r="K26" i="1" s="1"/>
  <c r="F21" i="1" s="1"/>
  <c r="E21" i="1" s="1"/>
  <c r="F20" i="1"/>
  <c r="F16" i="1"/>
  <c r="F12" i="1"/>
  <c r="F9" i="1"/>
  <c r="F6" i="1"/>
  <c r="H5" i="1"/>
  <c r="J5" i="1" s="1"/>
  <c r="H4" i="1"/>
  <c r="J4" i="1" s="1"/>
  <c r="H3" i="1"/>
  <c r="J3" i="1" s="1"/>
  <c r="J6" i="1" s="1"/>
  <c r="F3" i="1"/>
  <c r="I41" i="3" l="1"/>
  <c r="G40" i="3"/>
  <c r="D39" i="3"/>
  <c r="G39" i="3" s="1"/>
  <c r="I39" i="3" s="1"/>
  <c r="G38" i="3"/>
  <c r="D36" i="3"/>
  <c r="G36" i="3" s="1"/>
  <c r="I36" i="3" s="1"/>
  <c r="G35" i="3"/>
  <c r="I32" i="3"/>
  <c r="G31" i="3"/>
  <c r="I28" i="3"/>
  <c r="G27" i="3"/>
  <c r="D26" i="3"/>
  <c r="G26" i="3" s="1"/>
  <c r="I26" i="3" s="1"/>
  <c r="G25" i="3"/>
  <c r="G22" i="3"/>
  <c r="D23" i="3"/>
  <c r="G23" i="3" s="1"/>
  <c r="I23" i="3" s="1"/>
  <c r="G19" i="3"/>
  <c r="D20" i="3"/>
  <c r="G20" i="3" s="1"/>
  <c r="I20" i="3" s="1"/>
  <c r="L10" i="3"/>
  <c r="M10" i="3"/>
  <c r="N10" i="3" s="1"/>
  <c r="E11" i="3"/>
  <c r="S105" i="2"/>
  <c r="S104" i="2"/>
  <c r="S103" i="2"/>
  <c r="W92" i="2"/>
  <c r="S97" i="2"/>
  <c r="W97" i="2" s="1"/>
  <c r="X99" i="2" s="1"/>
  <c r="S96" i="2"/>
  <c r="W96" i="2" s="1"/>
  <c r="X98" i="2" s="1"/>
  <c r="X101" i="2" s="1"/>
  <c r="W91" i="2"/>
  <c r="H50" i="2"/>
  <c r="G51" i="2"/>
  <c r="H51" i="2" s="1"/>
  <c r="J51" i="2" s="1"/>
  <c r="E66" i="2"/>
  <c r="G44" i="2"/>
  <c r="H40" i="2"/>
  <c r="G33" i="2"/>
  <c r="H32" i="2"/>
  <c r="J31" i="2"/>
  <c r="J28" i="2"/>
  <c r="H25" i="2"/>
  <c r="J25" i="2" s="1"/>
  <c r="G26" i="2"/>
  <c r="J24" i="2"/>
  <c r="H23" i="2"/>
  <c r="H19" i="2"/>
  <c r="D22" i="2"/>
  <c r="U70" i="3"/>
  <c r="U122" i="1"/>
  <c r="F22" i="1"/>
  <c r="I38" i="3" l="1"/>
  <c r="G37" i="3"/>
  <c r="I35" i="3"/>
  <c r="G34" i="3"/>
  <c r="I25" i="3"/>
  <c r="G24" i="3"/>
  <c r="I22" i="3"/>
  <c r="G21" i="3"/>
  <c r="I19" i="3"/>
  <c r="E12" i="3" s="1"/>
  <c r="G18" i="3"/>
  <c r="H44" i="2"/>
  <c r="H42" i="2" s="1"/>
  <c r="G52" i="2"/>
  <c r="H52" i="2" s="1"/>
  <c r="H33" i="2"/>
  <c r="G34" i="2"/>
  <c r="H34" i="2" s="1"/>
  <c r="H26" i="2"/>
  <c r="J26" i="2" s="1"/>
  <c r="G29" i="2"/>
  <c r="H29" i="2" s="1"/>
  <c r="H27" i="2" s="1"/>
  <c r="J19" i="2"/>
  <c r="H22" i="2"/>
  <c r="H18" i="2" s="1"/>
  <c r="L22" i="2"/>
  <c r="L14" i="2" s="1"/>
  <c r="J50" i="2"/>
  <c r="H45" i="2"/>
  <c r="N14" i="2" l="1"/>
  <c r="O15" i="2" s="1"/>
  <c r="L9" i="2"/>
  <c r="E10" i="2" s="1"/>
  <c r="E12" i="2"/>
  <c r="H30" i="2"/>
  <c r="D12" i="3"/>
  <c r="E13" i="3"/>
  <c r="D12" i="2" l="1"/>
  <c r="E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tc={29484d8c-585d-4fba-96a8-8b0876be61b5}</author>
    <author>tc={92bea980-3447-49a1-9986-3e5a81013933}</author>
  </authors>
  <commentList>
    <comment ref="C71" authorId="0" shapeId="0" xr:uid="{29484D8C-585D-4FBA-96A8-8B0876BE61B5}">
      <text>
        <t xml:space="preserve">[Threaded comment]
Your version of Excel allows you to read this threaded comment; however, any edits to it will get removed if the file is opened in a newer version of Excel. Learn more: https://go.microsoft.com/fwlink/?linkid=870924
Comment:
    @rcampbell@sighthound.com this is what he just said he wanted to order.. we could invoice him for Oct 15th and then how soon do they typically pay? @mremy@sighthound.com
Assigned to </t>
      </text>
    </comment>
    <comment ref="C72" authorId="1" shapeId="0" xr:uid="{92BEA980-3447-49A1-9986-3E5A81013933}">
      <text>
        <t>[Threaded comment]
Your version of Excel allows you to read this threaded comment; however, any edits to it will get removed if the file is opened in a newer version of Excel. Learn more: https://go.microsoft.com/fwlink/?linkid=870924
Comment:
    @rcampbell@sighthound.com  confirming this is the price for these 60 which is the balance of what they have already paid?  Jim is ready to place this order and the 100 now.
Assigned to rcampbell@sighthound.com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tc={4bfec16b-e97e-46bc-98ad-d379cde8a0db}</author>
  </authors>
  <commentList>
    <comment ref="N58" authorId="0" shapeId="0" xr:uid="{4BFEC16B-E97E-46BC-98AD-D379CDE8A0DB}">
      <text>
        <t>[Threaded comment]
Your version of Excel allows you to read this threaded comment; however, any edits to it will get removed if the file is opened in a newer version of Excel. Learn more: https://go.microsoft.com/fwlink/?linkid=870924
Comment:
    @bworman@sighthound.com i don't believe this is right
Reply:
    Sorry to revive an old thread, but I'm also not sure this is right. I don't see any history of us shipping 50 in December 2022.. it's way behind us now.
Reply:
    I would have to go back to communications for that time. It might have been a reconciling item for the year.</t>
      </text>
    </comment>
  </commentList>
</comments>
</file>

<file path=xl/sharedStrings.xml><?xml version="1.0" encoding="utf-8"?>
<sst xmlns="http://schemas.openxmlformats.org/spreadsheetml/2006/main" count="421" uniqueCount="151">
  <si>
    <t>Close Date</t>
  </si>
  <si>
    <t>PO #</t>
  </si>
  <si>
    <t>Cameras</t>
  </si>
  <si>
    <t>Price Per</t>
  </si>
  <si>
    <t>Total Price</t>
  </si>
  <si>
    <t>Nodes (Test)</t>
  </si>
  <si>
    <t>Nodes (GA)</t>
  </si>
  <si>
    <t>Nodes 4.6 (GA)</t>
  </si>
  <si>
    <t>Cameras Ordered</t>
  </si>
  <si>
    <t>Cameras Shipped</t>
  </si>
  <si>
    <t>Cameras Remaining to Ship Per PO</t>
  </si>
  <si>
    <t>Nodes Ordered</t>
  </si>
  <si>
    <t>Nodes Shipped</t>
  </si>
  <si>
    <t>Noes Remaining to Ship Per PO</t>
  </si>
  <si>
    <t>Total</t>
  </si>
  <si>
    <t>Paid to Date</t>
  </si>
  <si>
    <t>To be paid</t>
  </si>
  <si>
    <t>Invoice #</t>
  </si>
  <si>
    <t>Invoice Date</t>
  </si>
  <si>
    <t>Delivery ID</t>
  </si>
  <si>
    <t>Details</t>
  </si>
  <si>
    <t>Invoice Qty</t>
  </si>
  <si>
    <t>Lens Type</t>
  </si>
  <si>
    <t>Item Price</t>
  </si>
  <si>
    <t>Amount</t>
  </si>
  <si>
    <t>Status</t>
  </si>
  <si>
    <t>Paid Amount</t>
  </si>
  <si>
    <t>H1 25% Deposit</t>
  </si>
  <si>
    <t>Paid</t>
  </si>
  <si>
    <t xml:space="preserve">Q1 50% Order Payment </t>
  </si>
  <si>
    <t>25-1:3-27:1</t>
  </si>
  <si>
    <t>25% At shipment</t>
  </si>
  <si>
    <t>LR</t>
  </si>
  <si>
    <t>25-1:3-27:2</t>
  </si>
  <si>
    <t>SR</t>
  </si>
  <si>
    <t>25-1:3-27:3</t>
  </si>
  <si>
    <t>25-1:3-27:4</t>
  </si>
  <si>
    <t>25-1:3-27:5</t>
  </si>
  <si>
    <t xml:space="preserve">Q2-1 50% Order Payment </t>
  </si>
  <si>
    <t>25-1:6-26:1</t>
  </si>
  <si>
    <t>Do not charge product only sales tax, paid on invoice 156886 - error in calc (130 shipped, but 150 ordered previously)</t>
  </si>
  <si>
    <t xml:space="preserve">Q2-2 50% Order Payment </t>
  </si>
  <si>
    <t>25-1:6-26:3</t>
  </si>
  <si>
    <t>H2 75% Deposit</t>
  </si>
  <si>
    <t>Node 4.6 (Test)</t>
  </si>
  <si>
    <t xml:space="preserve">50% Order Payment </t>
  </si>
  <si>
    <t>25-2:4-9:1</t>
  </si>
  <si>
    <t>50% At shipment</t>
  </si>
  <si>
    <t xml:space="preserve">75% Order Payment </t>
  </si>
  <si>
    <t>25% ship payment, 2nd set (60 cameras) for Nov/Dec</t>
  </si>
  <si>
    <t>25% ship payment, 3rd set (75 cameras) for Nov/Dec (15 SR 60 LR)</t>
  </si>
  <si>
    <t>Last Nov/Dec delivery ?</t>
  </si>
  <si>
    <t>November</t>
  </si>
  <si>
    <t>December</t>
  </si>
  <si>
    <t>January</t>
  </si>
  <si>
    <t>February</t>
  </si>
  <si>
    <t>March</t>
  </si>
  <si>
    <t>April</t>
  </si>
  <si>
    <t>Ordered Qty</t>
  </si>
  <si>
    <t>Shipped Qty</t>
  </si>
  <si>
    <t>50% Order</t>
  </si>
  <si>
    <t>25% Dep</t>
  </si>
  <si>
    <t>25% Ship</t>
  </si>
  <si>
    <t>Invoiced/Paid</t>
  </si>
  <si>
    <t>25% Dep Rec</t>
  </si>
  <si>
    <t>50% Order Rec</t>
  </si>
  <si>
    <t>50% order</t>
  </si>
  <si>
    <t>25% remaining</t>
  </si>
  <si>
    <t>Remaining to Ship Per PO</t>
  </si>
  <si>
    <t>Cameras On Order - Not Shipped</t>
  </si>
  <si>
    <t>Remaining Deposit (on shipped units)</t>
  </si>
  <si>
    <t>Forecasted order schedule</t>
  </si>
  <si>
    <t>left o schedule</t>
  </si>
  <si>
    <t>Ship Date</t>
  </si>
  <si>
    <t>Shipped to Date</t>
  </si>
  <si>
    <t>On Order</t>
  </si>
  <si>
    <t>Not Started</t>
  </si>
  <si>
    <t>25% Deposit</t>
  </si>
  <si>
    <t>NOV Order</t>
  </si>
  <si>
    <t xml:space="preserve">For orders, need to plan on 8 week lead time. </t>
  </si>
  <si>
    <t>50% Order deposit</t>
  </si>
  <si>
    <t>NEAR TERM SCHEDULE</t>
  </si>
  <si>
    <t>Ship 25</t>
  </si>
  <si>
    <t>PAID</t>
  </si>
  <si>
    <t>FEB Order</t>
  </si>
  <si>
    <t>Ship 30 - to be invoiced Friday</t>
  </si>
  <si>
    <t>July Late</t>
  </si>
  <si>
    <t>Order for September shipment (592.50 / camera)</t>
  </si>
  <si>
    <t>??</t>
  </si>
  <si>
    <t>Due 7/22 - Additional Tx2 Deposit (TBD * 537.50)</t>
  </si>
  <si>
    <t>Order for September shipment (TBD)</t>
  </si>
  <si>
    <t>APR/MAY Order</t>
  </si>
  <si>
    <t>Aug Mid</t>
  </si>
  <si>
    <t>Ship 35</t>
  </si>
  <si>
    <t xml:space="preserve">250 Remaining </t>
  </si>
  <si>
    <t>Aug Late</t>
  </si>
  <si>
    <t>Sept Late</t>
  </si>
  <si>
    <t>September shipment invoice (TBD)</t>
  </si>
  <si>
    <t>JUL Order / AUG SHIP</t>
  </si>
  <si>
    <t>50% Order deposit + storage upgrade</t>
  </si>
  <si>
    <t xml:space="preserve">Post Tx2 deposit - current PO orders will be billed as follows: </t>
  </si>
  <si>
    <t xml:space="preserve">Per Camera: </t>
  </si>
  <si>
    <t>SEP/OCT Order</t>
  </si>
  <si>
    <t>Order Deposit (25% + $55 storage upgrade)</t>
  </si>
  <si>
    <t>25% Order deposit + storage upgrade</t>
  </si>
  <si>
    <t>Paid (includes first 20 in October)</t>
  </si>
  <si>
    <t>At Shipment (final 25%)</t>
  </si>
  <si>
    <t>Additional Oct Order</t>
  </si>
  <si>
    <t>Nov Order</t>
  </si>
  <si>
    <t>Dec Order</t>
  </si>
  <si>
    <t>Units</t>
  </si>
  <si>
    <t>$</t>
  </si>
  <si>
    <t>Due Date</t>
  </si>
  <si>
    <t>October - Add'tl 20 pre-payment</t>
  </si>
  <si>
    <t>August ship</t>
  </si>
  <si>
    <t>NET 10 Terms</t>
  </si>
  <si>
    <t>90 On Order - ship payment</t>
  </si>
  <si>
    <t>30/90</t>
  </si>
  <si>
    <t>60/90</t>
  </si>
  <si>
    <t>90/90</t>
  </si>
  <si>
    <t>Remaining Order Deposit</t>
  </si>
  <si>
    <t>Nov Order - 50 to 100?</t>
  </si>
  <si>
    <t>When would we have parts to start building these?</t>
  </si>
  <si>
    <t>Dec Order - 50 to 100?</t>
  </si>
  <si>
    <t xml:space="preserve">Roger: </t>
  </si>
  <si>
    <t xml:space="preserve">create a deal for 100 cameras, then create a task in HubSpot to Becky and tell her to ivnoice the 50% downpayment.  </t>
  </si>
  <si>
    <t>May</t>
  </si>
  <si>
    <t>June</t>
  </si>
  <si>
    <t>July</t>
  </si>
  <si>
    <t>Aug</t>
  </si>
  <si>
    <t>Sept</t>
  </si>
  <si>
    <t>October</t>
  </si>
  <si>
    <t>PO0487</t>
  </si>
  <si>
    <t>Remaining Cameras On Order</t>
  </si>
  <si>
    <t>Cameras Left to Manufacture</t>
  </si>
  <si>
    <t>In Manufacturing</t>
  </si>
  <si>
    <t>Paid in Full</t>
  </si>
  <si>
    <t>MAR Order</t>
  </si>
  <si>
    <t>APR Order</t>
  </si>
  <si>
    <t>MAY Order</t>
  </si>
  <si>
    <t>Estimate</t>
  </si>
  <si>
    <t>JUN Order</t>
  </si>
  <si>
    <t>SEP Order</t>
  </si>
  <si>
    <t>SEP Order #2</t>
  </si>
  <si>
    <t>Invoiced</t>
  </si>
  <si>
    <t>DEC Order</t>
  </si>
  <si>
    <t>MAY 23 Order</t>
  </si>
  <si>
    <t>JUN 23 Order</t>
  </si>
  <si>
    <t>August</t>
  </si>
  <si>
    <t>September</t>
  </si>
  <si>
    <t>Jan-March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</si>
</sst>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d/yyyy"/>
    <numFmt numFmtId="165" formatCode="&quot;$&quot;#,##0.00"/>
    <numFmt numFmtId="166" formatCode="&quot;$&quot;#,##0"/>
    <numFmt numFmtId="167" formatCode="m/d"/>
    <numFmt numFmtId="168" formatCode="mm/dd/yyyy"/>
    <numFmt numFmtId="169" formatCode="0.0"/>
    <numFmt numFmtId="170" formatCode="mmm\ d"/>
    <numFmt numFmtId="171" formatCode="mmmm\ yyyy"/>
    <numFmt numFmtId="172" formatCode="#,##0.00;\(#,##0.00\)"/>
  </numFmts>
  <fonts count="24">
    <font>
      <sz val="10"/>
      <color rgb="FF000000"/>
      <name val="Arial"/>
      <scheme val="minor"/>
    </font>
    <font>
      <b/>
      <sz val="10"/>
      <color theme="1"/>
      <name val="Arial"/>
      <family val="2"/>
      <scheme val="minor"/>
    </font>
    <font>
      <sz val="10"/>
      <color theme="1"/>
      <name val="Arial"/>
      <family val="2"/>
      <scheme val="minor"/>
    </font>
    <font>
      <b/>
      <sz val="10"/>
      <color theme="0"/>
      <name val="Arial"/>
      <family val="2"/>
      <scheme val="minor"/>
    </font>
    <font>
      <b/>
      <sz val="10"/>
      <color rgb="FFFFFFFF"/>
      <name val="Arial"/>
      <family val="2"/>
      <scheme val="minor"/>
    </font>
    <font>
      <sz val="10"/>
      <color theme="1"/>
      <name val="Arial"/>
      <family val="2"/>
      <scheme val="minor"/>
    </font>
    <font>
      <sz val="12"/>
      <color rgb="FF000000"/>
      <name val="Calibri"/>
      <family val="2"/>
    </font>
    <font>
      <sz val="11"/>
      <color rgb="FF000000"/>
      <name val="Arial"/>
      <family val="2"/>
    </font>
    <font>
      <b/>
      <sz val="12"/>
      <color rgb="FF000000"/>
      <name val="Calibri"/>
      <family val="2"/>
    </font>
    <font>
      <sz val="12"/>
      <color rgb="FFFF0000"/>
      <name val="Calibri"/>
      <family val="2"/>
    </font>
    <font>
      <i/>
      <sz val="10"/>
      <color theme="1"/>
      <name val="Arial"/>
      <family val="2"/>
      <scheme val="minor"/>
    </font>
    <font>
      <b/>
      <sz val="10"/>
      <color rgb="FF0000FF"/>
      <name val="Arial"/>
      <family val="2"/>
      <scheme val="minor"/>
    </font>
    <font>
      <sz val="10"/>
      <color rgb="FF0000FF"/>
      <name val="Arial"/>
      <family val="2"/>
      <scheme val="minor"/>
    </font>
    <font>
      <b/>
      <sz val="10"/>
      <color rgb="FFFF0000"/>
      <name val="Arial"/>
      <family val="2"/>
      <scheme val="minor"/>
    </font>
    <font>
      <sz val="10"/>
      <color rgb="FFFF0000"/>
      <name val="Arial"/>
      <family val="2"/>
      <scheme val="minor"/>
    </font>
    <font>
      <b/>
      <sz val="10"/>
      <color rgb="FF38761D"/>
      <name val="Arial"/>
      <family val="2"/>
      <scheme val="minor"/>
    </font>
    <font>
      <sz val="10"/>
      <color rgb="FF38761D"/>
      <name val="Arial"/>
      <family val="2"/>
      <scheme val="minor"/>
    </font>
    <font>
      <sz val="10"/>
      <color rgb="FF9900FF"/>
      <name val="Arial"/>
      <family val="2"/>
      <scheme val="minor"/>
    </font>
    <font>
      <b/>
      <i/>
      <sz val="10"/>
      <color theme="1"/>
      <name val="Arial"/>
      <family val="2"/>
      <scheme val="minor"/>
    </font>
    <font>
      <b/>
      <sz val="10"/>
      <color rgb="FF000000"/>
      <name val="Arial"/>
      <family val="2"/>
      <scheme val="minor"/>
    </font>
    <font>
      <sz val="9"/>
      <color rgb="FF1155CC"/>
      <name val="&quot;Google Sans Mono&quot;"/>
    </font>
    <font>
      <sz val="12"/>
      <color rgb="FF0000FF"/>
      <name val="Calibri"/>
      <family val="2"/>
    </font>
    <font>
      <b/>
      <sz val="10"/>
      <color rgb="FF980000"/>
      <name val="Arial"/>
      <family val="2"/>
      <scheme val="minor"/>
    </font>
    <font>
      <b/>
      <sz val="10"/>
      <color rgb="FF4285F4"/>
      <name val="Arial"/>
      <family val="2"/>
      <scheme val="minor"/>
    </font>
  </fonts>
  <fills count="16">
    <fill>
      <patternFill patternType="none"/>
    </fill>
    <fill>
      <patternFill patternType="gray125"/>
    </fill>
    <fill>
      <patternFill patternType="solid">
        <fgColor rgb="FFCCCCCC"/>
        <bgColor rgb="FFCCCCCC"/>
      </patternFill>
    </fill>
    <fill>
      <patternFill patternType="solid">
        <fgColor rgb="FFEFEFEF"/>
        <bgColor rgb="FFEFEFEF"/>
      </patternFill>
    </fill>
    <fill>
      <patternFill patternType="solid">
        <fgColor theme="0"/>
        <bgColor theme="0"/>
      </patternFill>
    </fill>
    <fill>
      <patternFill patternType="solid">
        <fgColor theme="1"/>
        <bgColor theme="1"/>
      </patternFill>
    </fill>
    <fill>
      <patternFill patternType="solid">
        <fgColor rgb="FFFFF2CC"/>
        <bgColor rgb="FFFFF2CC"/>
      </patternFill>
    </fill>
    <fill>
      <patternFill patternType="solid">
        <fgColor rgb="FF000000"/>
        <bgColor rgb="FF000000"/>
      </patternFill>
    </fill>
    <fill>
      <patternFill patternType="solid">
        <fgColor rgb="FFF4CCCC"/>
        <bgColor rgb="FFF4CCCC"/>
      </patternFill>
    </fill>
    <fill>
      <patternFill patternType="solid">
        <fgColor rgb="FFEAD1DC"/>
        <bgColor rgb="FFEAD1DC"/>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4">
    <xf numFmtId="0" fontId="0" fillId="0" borderId="0" xfId="0"/>
    <xf numFmtId="0" fontId="1" fillId="2" borderId="1" xfId="0" applyFont="1" applyFill="1" applyBorder="1"/>
    <xf numFmtId="0" fontId="2" fillId="0" borderId="0" xfId="0" applyFont="1"/>
    <xf numFmtId="164" fontId="2" fillId="0" borderId="1" xfId="0" applyNumberFormat="1" applyFont="1" applyBorder="1"/>
    <xf numFmtId="0" fontId="2" fillId="0" borderId="1" xfId="0" applyFont="1" applyBorder="1"/>
    <xf numFmtId="165" fontId="2" fillId="0" borderId="1" xfId="0" applyNumberFormat="1" applyFont="1" applyBorder="1"/>
    <xf numFmtId="165" fontId="2" fillId="0" borderId="0" xfId="0" applyNumberFormat="1" applyFont="1"/>
    <xf numFmtId="164" fontId="2" fillId="0" borderId="0" xfId="0" applyNumberFormat="1" applyFont="1"/>
    <xf numFmtId="0" fontId="1" fillId="3" borderId="2" xfId="0" applyFont="1" applyFill="1" applyBorder="1"/>
    <xf numFmtId="0" fontId="2" fillId="3" borderId="3" xfId="0" applyFont="1" applyFill="1" applyBorder="1"/>
    <xf numFmtId="0" fontId="2" fillId="3" borderId="4" xfId="0" applyFont="1" applyFill="1" applyBorder="1"/>
    <xf numFmtId="0" fontId="1" fillId="0" borderId="1" xfId="0" applyFont="1" applyBorder="1"/>
    <xf numFmtId="0" fontId="1" fillId="0" borderId="4" xfId="0" applyFont="1" applyBorder="1"/>
    <xf numFmtId="10" fontId="1" fillId="4" borderId="4" xfId="0" applyNumberFormat="1" applyFont="1" applyFill="1" applyBorder="1"/>
    <xf numFmtId="166" fontId="1" fillId="0" borderId="1" xfId="0" applyNumberFormat="1" applyFont="1" applyBorder="1"/>
    <xf numFmtId="10" fontId="1" fillId="4" borderId="1" xfId="0" applyNumberFormat="1" applyFont="1" applyFill="1" applyBorder="1"/>
    <xf numFmtId="0" fontId="3" fillId="5" borderId="0" xfId="0" applyFont="1" applyFill="1"/>
    <xf numFmtId="0" fontId="4" fillId="5" borderId="0" xfId="0" applyFont="1" applyFill="1"/>
    <xf numFmtId="0" fontId="1" fillId="3" borderId="0" xfId="0" applyFont="1" applyFill="1"/>
    <xf numFmtId="164" fontId="1" fillId="3" borderId="0" xfId="0" applyNumberFormat="1" applyFont="1" applyFill="1"/>
    <xf numFmtId="165" fontId="1" fillId="3" borderId="0" xfId="0" applyNumberFormat="1" applyFont="1" applyFill="1"/>
    <xf numFmtId="165" fontId="1" fillId="6" borderId="0" xfId="0" applyNumberFormat="1" applyFont="1" applyFill="1"/>
    <xf numFmtId="0" fontId="1" fillId="0" borderId="0" xfId="0" applyFont="1"/>
    <xf numFmtId="165" fontId="5" fillId="0" borderId="0" xfId="0" applyNumberFormat="1" applyFont="1"/>
    <xf numFmtId="167" fontId="2" fillId="0" borderId="0" xfId="0" applyNumberFormat="1" applyFont="1"/>
    <xf numFmtId="166" fontId="2" fillId="0" borderId="0" xfId="0" applyNumberFormat="1" applyFont="1"/>
    <xf numFmtId="168" fontId="1" fillId="3" borderId="0" xfId="0" applyNumberFormat="1" applyFont="1" applyFill="1"/>
    <xf numFmtId="169" fontId="2" fillId="0" borderId="0" xfId="0" applyNumberFormat="1" applyFont="1"/>
    <xf numFmtId="14" fontId="1" fillId="0" borderId="0" xfId="0" applyNumberFormat="1" applyFont="1"/>
    <xf numFmtId="165" fontId="1" fillId="0" borderId="0" xfId="0" applyNumberFormat="1" applyFont="1"/>
    <xf numFmtId="0" fontId="1" fillId="6" borderId="0" xfId="0" applyFont="1" applyFill="1"/>
    <xf numFmtId="3" fontId="2" fillId="0" borderId="0" xfId="0" applyNumberFormat="1" applyFont="1"/>
    <xf numFmtId="0" fontId="2" fillId="7" borderId="0" xfId="0" applyFont="1" applyFill="1"/>
    <xf numFmtId="170" fontId="2" fillId="0" borderId="0" xfId="0" applyNumberFormat="1" applyFont="1"/>
    <xf numFmtId="0" fontId="2" fillId="8" borderId="0" xfId="0" applyFont="1" applyFill="1"/>
    <xf numFmtId="171" fontId="2" fillId="0" borderId="0" xfId="0" applyNumberFormat="1" applyFont="1" applyAlignment="1">
      <alignment horizontal="left"/>
    </xf>
    <xf numFmtId="0" fontId="6" fillId="0" borderId="0" xfId="0" applyFont="1" applyAlignment="1">
      <alignment horizontal="right"/>
    </xf>
    <xf numFmtId="0" fontId="7" fillId="9" borderId="0" xfId="0" applyFont="1" applyFill="1" applyAlignment="1">
      <alignment horizontal="right"/>
    </xf>
    <xf numFmtId="0" fontId="6" fillId="9" borderId="0" xfId="0" applyFont="1" applyFill="1"/>
    <xf numFmtId="0" fontId="6" fillId="9" borderId="0" xfId="0" applyFont="1" applyFill="1" applyAlignment="1">
      <alignment horizontal="right"/>
    </xf>
    <xf numFmtId="0" fontId="6" fillId="0" borderId="0" xfId="0" applyFont="1"/>
    <xf numFmtId="0" fontId="7" fillId="10" borderId="0" xfId="0" applyFont="1" applyFill="1"/>
    <xf numFmtId="0" fontId="6" fillId="10" borderId="0" xfId="0" applyFont="1" applyFill="1" applyAlignment="1">
      <alignment horizontal="right"/>
    </xf>
    <xf numFmtId="0" fontId="6" fillId="10" borderId="0" xfId="0" applyFont="1" applyFill="1"/>
    <xf numFmtId="172" fontId="6" fillId="11" borderId="0" xfId="0" applyNumberFormat="1" applyFont="1" applyFill="1"/>
    <xf numFmtId="172" fontId="2" fillId="0" borderId="0" xfId="0" applyNumberFormat="1" applyFont="1"/>
    <xf numFmtId="172" fontId="6" fillId="0" borderId="0" xfId="0" applyNumberFormat="1" applyFont="1" applyAlignment="1">
      <alignment horizontal="right"/>
    </xf>
    <xf numFmtId="172" fontId="7" fillId="0" borderId="0" xfId="0" applyNumberFormat="1" applyFont="1"/>
    <xf numFmtId="172" fontId="6" fillId="0" borderId="0" xfId="0" applyNumberFormat="1" applyFont="1"/>
    <xf numFmtId="172" fontId="8" fillId="0" borderId="0" xfId="0" applyNumberFormat="1" applyFont="1"/>
    <xf numFmtId="172" fontId="6" fillId="12" borderId="0" xfId="0" applyNumberFormat="1" applyFont="1" applyFill="1"/>
    <xf numFmtId="172" fontId="9" fillId="0" borderId="0" xfId="0" applyNumberFormat="1" applyFont="1"/>
    <xf numFmtId="172" fontId="6" fillId="6" borderId="0" xfId="0" applyNumberFormat="1" applyFont="1" applyFill="1"/>
    <xf numFmtId="0" fontId="2" fillId="0" borderId="0" xfId="0" applyFont="1" applyAlignment="1">
      <alignment wrapText="1"/>
    </xf>
    <xf numFmtId="0" fontId="1" fillId="13" borderId="0" xfId="0" applyFont="1" applyFill="1"/>
    <xf numFmtId="0" fontId="1" fillId="14" borderId="0" xfId="0" applyFont="1" applyFill="1"/>
    <xf numFmtId="164" fontId="1" fillId="0" borderId="0" xfId="0" applyNumberFormat="1" applyFont="1"/>
    <xf numFmtId="0" fontId="1" fillId="0" borderId="0" xfId="0" applyFont="1" applyAlignment="1">
      <alignment wrapText="1"/>
    </xf>
    <xf numFmtId="0" fontId="5" fillId="3" borderId="0" xfId="0" applyFont="1" applyFill="1"/>
    <xf numFmtId="0" fontId="10" fillId="0" borderId="0" xfId="0" applyFont="1"/>
    <xf numFmtId="14" fontId="2" fillId="0" borderId="0" xfId="0" applyNumberFormat="1" applyFont="1"/>
    <xf numFmtId="167" fontId="1" fillId="0" borderId="1" xfId="0" applyNumberFormat="1" applyFont="1" applyBorder="1" applyAlignment="1">
      <alignment horizontal="left"/>
    </xf>
    <xf numFmtId="0" fontId="2" fillId="0" borderId="1" xfId="0" applyFont="1" applyBorder="1" applyAlignment="1">
      <alignment wrapText="1"/>
    </xf>
    <xf numFmtId="166" fontId="2" fillId="0" borderId="1" xfId="0" applyNumberFormat="1" applyFont="1" applyBorder="1" applyAlignment="1">
      <alignment horizontal="right"/>
    </xf>
    <xf numFmtId="0" fontId="11" fillId="0" borderId="1" xfId="0" applyFont="1" applyBorder="1"/>
    <xf numFmtId="0" fontId="12" fillId="0" borderId="1" xfId="0" applyFont="1" applyBorder="1" applyAlignment="1">
      <alignment wrapText="1"/>
    </xf>
    <xf numFmtId="166" fontId="12" fillId="0" borderId="1" xfId="0" applyNumberFormat="1" applyFont="1" applyBorder="1" applyAlignment="1">
      <alignment horizontal="right"/>
    </xf>
    <xf numFmtId="0" fontId="13" fillId="0" borderId="1" xfId="0" applyFont="1" applyBorder="1"/>
    <xf numFmtId="0" fontId="14" fillId="0" borderId="1" xfId="0" applyFont="1" applyBorder="1" applyAlignment="1">
      <alignment wrapText="1"/>
    </xf>
    <xf numFmtId="166" fontId="14" fillId="0" borderId="1" xfId="0" applyNumberFormat="1" applyFont="1" applyBorder="1" applyAlignment="1">
      <alignment horizontal="right"/>
    </xf>
    <xf numFmtId="0" fontId="15" fillId="0" borderId="1" xfId="0" applyFont="1" applyBorder="1"/>
    <xf numFmtId="0" fontId="16" fillId="0" borderId="1" xfId="0" applyFont="1" applyBorder="1" applyAlignment="1">
      <alignment wrapText="1"/>
    </xf>
    <xf numFmtId="166" fontId="16" fillId="0" borderId="1" xfId="0" applyNumberFormat="1" applyFont="1" applyBorder="1" applyAlignment="1">
      <alignment horizontal="right"/>
    </xf>
    <xf numFmtId="165" fontId="17" fillId="0" borderId="0" xfId="0" applyNumberFormat="1" applyFont="1"/>
    <xf numFmtId="170" fontId="2" fillId="0" borderId="0" xfId="0" applyNumberFormat="1" applyFont="1" applyAlignment="1">
      <alignment horizontal="right"/>
    </xf>
    <xf numFmtId="0" fontId="18" fillId="0" borderId="0" xfId="0" applyFont="1"/>
    <xf numFmtId="0" fontId="11" fillId="3" borderId="0" xfId="0" applyFont="1" applyFill="1"/>
    <xf numFmtId="0" fontId="1" fillId="3" borderId="0" xfId="0" applyFont="1" applyFill="1" applyAlignment="1">
      <alignment horizontal="right"/>
    </xf>
    <xf numFmtId="0" fontId="19" fillId="15" borderId="0" xfId="0" applyFont="1" applyFill="1"/>
    <xf numFmtId="0" fontId="2" fillId="0" borderId="0" xfId="0" applyFont="1" applyAlignment="1">
      <alignment horizontal="right"/>
    </xf>
    <xf numFmtId="170" fontId="2" fillId="8" borderId="0" xfId="0" applyNumberFormat="1" applyFont="1" applyFill="1" applyAlignment="1">
      <alignment horizontal="right"/>
    </xf>
    <xf numFmtId="165" fontId="2" fillId="8" borderId="0" xfId="0" applyNumberFormat="1" applyFont="1" applyFill="1"/>
    <xf numFmtId="165" fontId="5" fillId="8" borderId="0" xfId="0" applyNumberFormat="1" applyFont="1" applyFill="1"/>
    <xf numFmtId="0" fontId="1" fillId="8" borderId="0" xfId="0" applyFont="1" applyFill="1"/>
    <xf numFmtId="0" fontId="2" fillId="8" borderId="0" xfId="0" applyFont="1" applyFill="1" applyAlignment="1">
      <alignment wrapText="1"/>
    </xf>
    <xf numFmtId="0" fontId="15" fillId="3" borderId="0" xfId="0" applyFont="1" applyFill="1"/>
    <xf numFmtId="165" fontId="20" fillId="15" borderId="0" xfId="0" applyNumberFormat="1" applyFont="1" applyFill="1"/>
    <xf numFmtId="170" fontId="14" fillId="6" borderId="0" xfId="0" applyNumberFormat="1" applyFont="1" applyFill="1" applyAlignment="1">
      <alignment horizontal="right"/>
    </xf>
    <xf numFmtId="0" fontId="14" fillId="0" borderId="0" xfId="0" applyFont="1"/>
    <xf numFmtId="0" fontId="9" fillId="9" borderId="0" xfId="0" applyFont="1" applyFill="1"/>
    <xf numFmtId="0" fontId="9" fillId="9" borderId="0" xfId="0" applyFont="1" applyFill="1" applyAlignment="1">
      <alignment horizontal="right" wrapText="1"/>
    </xf>
    <xf numFmtId="0" fontId="21" fillId="10" borderId="0" xfId="0" applyFont="1" applyFill="1"/>
    <xf numFmtId="0" fontId="9" fillId="10" borderId="0" xfId="0" applyFont="1" applyFill="1"/>
    <xf numFmtId="0" fontId="6" fillId="10" borderId="0" xfId="0" applyFont="1" applyFill="1" applyAlignment="1">
      <alignment horizontal="right" wrapText="1"/>
    </xf>
    <xf numFmtId="0" fontId="6" fillId="0" borderId="0" xfId="0" applyFont="1" applyAlignment="1">
      <alignment wrapText="1"/>
    </xf>
    <xf numFmtId="172" fontId="6" fillId="11" borderId="0" xfId="0" applyNumberFormat="1" applyFont="1" applyFill="1" applyAlignment="1">
      <alignment wrapText="1"/>
    </xf>
    <xf numFmtId="172" fontId="6" fillId="0" borderId="0" xfId="0" applyNumberFormat="1" applyFont="1" applyAlignment="1">
      <alignment wrapText="1"/>
    </xf>
    <xf numFmtId="172" fontId="6" fillId="12" borderId="0" xfId="0" applyNumberFormat="1" applyFont="1" applyFill="1" applyAlignment="1">
      <alignment wrapText="1"/>
    </xf>
    <xf numFmtId="172" fontId="6" fillId="6" borderId="0" xfId="0" applyNumberFormat="1" applyFont="1" applyFill="1" applyAlignment="1">
      <alignment wrapText="1"/>
    </xf>
    <xf numFmtId="166" fontId="1" fillId="0" borderId="0" xfId="0" applyNumberFormat="1" applyFont="1"/>
    <xf numFmtId="0" fontId="22" fillId="3" borderId="0" xfId="0" applyFont="1" applyFill="1"/>
    <xf numFmtId="0" fontId="2" fillId="6" borderId="0" xfId="0" applyFont="1" applyFill="1"/>
    <xf numFmtId="0" fontId="23" fillId="3" borderId="0" xfId="0" applyFont="1" applyFill="1"/>
    <xf numFmtId="0" fontId="7" fillId="10"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ean Peskin" id="{3D342C9B-041A-4EB1-9EE1-58184B62D3FB}" userId="" providerId="google-sheets"/>
  <person displayName="Becky Worman" id="{7B2A6109-AAF9-403E-9FE7-ACC14BC6B1B7}" userId="" providerId="google-sheets"/>
  <person displayName="Deleted user" id="{2F18C1EF-BD05-4B91-9746-52AC0959F420}" userId="" providerId="google-sheets"/>
  <person displayName="Roger Dunnavan" id="{469252CC-2231-4C25-B86C-34EBBD2EC8BD}" userId="" providerId="google-sheets"/>
  <person displayName="mremy@sighthound.com" id="{2FD4622C-D46D-BE4C-ADF2-7A83C3170DED}" userId="mremy@sighthound.com" providerId="PeoplePicker"/>
  <person displayName="bworman@sighthound.com" id="{AC8EBECA-6A40-4D4E-92F0-644C8CC38166}" userId="bworman@sighthound.com" providerId="PeoplePicker"/>
  <person displayName="rcampbell@sighthound.com" id="{74C873CF-C9DA-8C4B-BAF3-32D444D6C82A}" userId="rcampbell@sighthound.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1" dT="2024-09-30T19:28:33.00" personId="{469252CC-2231-4C25-B86C-34EBBD2EC8BD}" id="{29484D8C-585D-4FBA-96A8-8B0876BE61B5}">
    <text xml:space="preserve">@rcampbell@sighthound.com this is what he just said he wanted to order.. we could invoice him for Oct 15th and then how soon do they typically pay? @mremy@sighthound.com
Assigned to </text>
    <mentions>
      <mention mentionpersonId="{74C873CF-C9DA-8C4B-BAF3-32D444D6C82A}" mentionId="{207EE471-4A24-4F6B-8FEC-BCAB99542E01}" startIndex="0" length="25"/>
      <mention mentionpersonId="{2FD4622C-D46D-BE4C-ADF2-7A83C3170DED}" mentionId="{2B4E5CF3-9346-40AE-BC51-E099D44B0D7E}" startIndex="148" length="21"/>
    </mentions>
  </threadedComment>
  <threadedComment ref="C72" dT="2024-10-29T16:41:04.00" personId="{469252CC-2231-4C25-B86C-34EBBD2EC8BD}" id="{92BEA980-3447-49A1-9986-3E5A81013933}" done="1">
    <text>@rcampbell@sighthound.com  confirming this is the price for these 60 which is the balance of what they have already paid?  Jim is ready to place this order and the 100 now.
Assigned to rcampbell@sighthound.com</text>
    <mentions>
      <mention mentionpersonId="{74C873CF-C9DA-8C4B-BAF3-32D444D6C82A}" mentionId="{1926A5F5-27AC-41F9-8096-98ABE6EB94D3}" startIndex="0" length="2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N58" dT="2023-01-06T15:24:51.00" personId="{2F18C1EF-BD05-4B91-9746-52AC0959F420}" id="{4BFEC16B-E97E-46BC-98AD-D379CDE8A0DB}">
    <text>@bworman@sighthound.com i don't believe this is right</text>
    <mentions>
      <mention mentionpersonId="{AC8EBECA-6A40-4D4E-92F0-644C8CC38166}" mentionId="{71CF9A46-38EA-4157-8FA9-30174D9087EF}" startIndex="0" length="23"/>
    </mentions>
  </threadedComment>
  <threadedComment ref="N58" dT="2024-02-27T18:47:34.00" personId="{3D342C9B-041A-4EB1-9EE1-58184B62D3FB}" id="{5A6899CB-9B65-4106-90C4-A3C551EB5EAC}" parentId="{4BFEC16B-E97E-46BC-98AD-D379CDE8A0DB}">
    <text>Sorry to revive an old thread, but I'm also not sure this is right. I don't see any history of us shipping 50 in December 2022.. it's way behind us now.</text>
  </threadedComment>
  <threadedComment ref="N58" dT="2024-02-28T12:22:03.00" personId="{7B2A6109-AAF9-403E-9FE7-ACC14BC6B1B7}" id="{D1B46801-39F1-4DEF-B8CF-8A78A843171F}" parentId="{4BFEC16B-E97E-46BC-98AD-D379CDE8A0DB}">
    <text>I would have to go back to communications for that time. It might have been a reconciling item for the year.</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I126"/>
  <sheetViews>
    <sheetView tabSelected="1" workbookViewId="0"/>
  </sheetViews>
  <sheetFormatPr baseColWidth="10" defaultColWidth="12.6640625" defaultRowHeight="15.75" customHeight="1"/>
  <cols>
    <col min="1" max="1" width="11.83203125" customWidth="1"/>
    <col min="2" max="2" width="11.5" customWidth="1"/>
    <col min="3" max="3" width="13.6640625" customWidth="1"/>
    <col min="4" max="4" width="51.33203125" customWidth="1"/>
    <col min="5" max="5" width="10.1640625" customWidth="1"/>
    <col min="6" max="6" width="14.6640625" customWidth="1"/>
    <col min="10" max="10" width="14.33203125" customWidth="1"/>
    <col min="12" max="12" width="13.33203125" customWidth="1"/>
    <col min="13" max="13" width="48.6640625" customWidth="1"/>
  </cols>
  <sheetData>
    <row r="2" spans="1:10" ht="15.75" customHeight="1">
      <c r="A2" s="1" t="s">
        <v>0</v>
      </c>
      <c r="B2" s="1" t="s">
        <v>1</v>
      </c>
      <c r="C2" s="1"/>
      <c r="D2" s="1" t="s">
        <v>2</v>
      </c>
      <c r="E2" s="1" t="s">
        <v>3</v>
      </c>
      <c r="F2" s="1" t="s">
        <v>4</v>
      </c>
      <c r="I2" s="2"/>
    </row>
    <row r="3" spans="1:10" ht="15.75" customHeight="1">
      <c r="A3" s="3">
        <v>45677</v>
      </c>
      <c r="B3" s="4"/>
      <c r="C3" s="4"/>
      <c r="D3" s="4">
        <v>230</v>
      </c>
      <c r="E3" s="5">
        <v>2625</v>
      </c>
      <c r="F3" s="5">
        <f>E3*D3</f>
        <v>603750</v>
      </c>
      <c r="H3" s="6">
        <f>E3*0.25</f>
        <v>656.25</v>
      </c>
      <c r="J3" s="6">
        <f t="shared" ref="J3:J5" si="0">H3*I3</f>
        <v>0</v>
      </c>
    </row>
    <row r="4" spans="1:10" ht="15.75" customHeight="1">
      <c r="H4" s="6">
        <f>E3*0.5</f>
        <v>1312.5</v>
      </c>
      <c r="I4" s="2">
        <v>70</v>
      </c>
      <c r="J4" s="6">
        <f t="shared" si="0"/>
        <v>91875</v>
      </c>
    </row>
    <row r="5" spans="1:10" ht="15.75" customHeight="1">
      <c r="A5" s="1" t="s">
        <v>0</v>
      </c>
      <c r="B5" s="1" t="s">
        <v>1</v>
      </c>
      <c r="C5" s="1"/>
      <c r="D5" s="1" t="s">
        <v>5</v>
      </c>
      <c r="E5" s="1" t="s">
        <v>3</v>
      </c>
      <c r="F5" s="1" t="s">
        <v>4</v>
      </c>
      <c r="H5" s="6">
        <f>E3*0.75</f>
        <v>1968.75</v>
      </c>
      <c r="I5" s="2">
        <v>30</v>
      </c>
      <c r="J5" s="6">
        <f t="shared" si="0"/>
        <v>59062.5</v>
      </c>
    </row>
    <row r="6" spans="1:10" ht="15.75" customHeight="1">
      <c r="A6" s="3">
        <v>45740</v>
      </c>
      <c r="B6" s="4"/>
      <c r="C6" s="4"/>
      <c r="D6" s="4">
        <v>4</v>
      </c>
      <c r="E6" s="5">
        <v>2000</v>
      </c>
      <c r="F6" s="5">
        <f>E6*D6</f>
        <v>8000</v>
      </c>
      <c r="J6" s="6">
        <f>SUM(J3:J5)</f>
        <v>150937.5</v>
      </c>
    </row>
    <row r="8" spans="1:10" ht="15.75" customHeight="1">
      <c r="A8" s="1" t="s">
        <v>0</v>
      </c>
      <c r="B8" s="1" t="s">
        <v>1</v>
      </c>
      <c r="C8" s="1"/>
      <c r="D8" s="1" t="s">
        <v>6</v>
      </c>
      <c r="E8" s="1" t="s">
        <v>3</v>
      </c>
      <c r="F8" s="1" t="s">
        <v>4</v>
      </c>
    </row>
    <row r="9" spans="1:10" ht="15.75" customHeight="1">
      <c r="A9" s="3">
        <v>45740</v>
      </c>
      <c r="B9" s="4"/>
      <c r="C9" s="4"/>
      <c r="D9" s="4">
        <v>12</v>
      </c>
      <c r="E9" s="5">
        <v>2927</v>
      </c>
      <c r="F9" s="5">
        <f>E9*D9</f>
        <v>35124</v>
      </c>
    </row>
    <row r="10" spans="1:10" ht="15.75" customHeight="1">
      <c r="A10" s="7"/>
      <c r="B10" s="2"/>
      <c r="C10" s="2"/>
      <c r="D10" s="2"/>
      <c r="E10" s="6"/>
      <c r="F10" s="6"/>
    </row>
    <row r="11" spans="1:10" ht="15.75" customHeight="1">
      <c r="A11" s="1" t="s">
        <v>0</v>
      </c>
      <c r="B11" s="1" t="s">
        <v>1</v>
      </c>
      <c r="C11" s="1"/>
      <c r="D11" s="1" t="s">
        <v>7</v>
      </c>
      <c r="E11" s="1" t="s">
        <v>3</v>
      </c>
      <c r="F11" s="1" t="s">
        <v>4</v>
      </c>
    </row>
    <row r="12" spans="1:10" ht="15.75" customHeight="1">
      <c r="A12" s="3">
        <v>45919</v>
      </c>
      <c r="B12" s="4"/>
      <c r="C12" s="4"/>
      <c r="D12" s="4">
        <v>25</v>
      </c>
      <c r="E12" s="5">
        <v>2727</v>
      </c>
      <c r="F12" s="5">
        <f>E12*D12</f>
        <v>68175</v>
      </c>
    </row>
    <row r="14" spans="1:10" ht="15.75" customHeight="1">
      <c r="A14" s="8" t="s">
        <v>8</v>
      </c>
      <c r="B14" s="9"/>
      <c r="C14" s="9"/>
      <c r="D14" s="9"/>
      <c r="E14" s="10"/>
      <c r="F14" s="11">
        <v>230</v>
      </c>
    </row>
    <row r="15" spans="1:10" ht="15.75" customHeight="1">
      <c r="A15" s="8" t="s">
        <v>9</v>
      </c>
      <c r="B15" s="9"/>
      <c r="C15" s="9"/>
      <c r="D15" s="10"/>
      <c r="E15" s="12"/>
      <c r="F15" s="11">
        <v>130</v>
      </c>
    </row>
    <row r="16" spans="1:10" ht="15.75" customHeight="1">
      <c r="A16" s="8" t="s">
        <v>10</v>
      </c>
      <c r="B16" s="9"/>
      <c r="C16" s="9"/>
      <c r="D16" s="9"/>
      <c r="E16" s="10"/>
      <c r="F16" s="11">
        <f>F14-F15</f>
        <v>100</v>
      </c>
    </row>
    <row r="17" spans="1:35" ht="15.75" customHeight="1">
      <c r="A17" s="8" t="s">
        <v>11</v>
      </c>
      <c r="B17" s="9"/>
      <c r="C17" s="9"/>
      <c r="D17" s="9"/>
      <c r="E17" s="12"/>
      <c r="F17" s="11">
        <v>41</v>
      </c>
    </row>
    <row r="18" spans="1:35" ht="15.75" customHeight="1">
      <c r="A18" s="8" t="s">
        <v>12</v>
      </c>
      <c r="B18" s="9"/>
      <c r="C18" s="9"/>
      <c r="D18" s="9"/>
      <c r="E18" s="12"/>
      <c r="F18" s="11">
        <v>41</v>
      </c>
    </row>
    <row r="19" spans="1:35" ht="15.75" customHeight="1">
      <c r="A19" s="8" t="s">
        <v>13</v>
      </c>
      <c r="B19" s="9"/>
      <c r="C19" s="9"/>
      <c r="D19" s="9"/>
      <c r="E19" s="13"/>
      <c r="F19" s="11">
        <v>0</v>
      </c>
    </row>
    <row r="20" spans="1:35" ht="15.75" customHeight="1">
      <c r="A20" s="8" t="s">
        <v>14</v>
      </c>
      <c r="B20" s="9"/>
      <c r="C20" s="9"/>
      <c r="D20" s="9"/>
      <c r="E20" s="13"/>
      <c r="F20" s="14">
        <f>SUM(F3,F6,F9,F12)</f>
        <v>715049</v>
      </c>
    </row>
    <row r="21" spans="1:35" ht="15.75" customHeight="1">
      <c r="A21" s="8" t="s">
        <v>15</v>
      </c>
      <c r="B21" s="9"/>
      <c r="C21" s="9"/>
      <c r="D21" s="9"/>
      <c r="E21" s="15">
        <f>F21/F20</f>
        <v>0.88438729373791169</v>
      </c>
      <c r="F21" s="14">
        <f>SUM(K26:K99)</f>
        <v>632380.25</v>
      </c>
    </row>
    <row r="22" spans="1:35" ht="15.75" customHeight="1">
      <c r="A22" s="8" t="s">
        <v>16</v>
      </c>
      <c r="B22" s="9"/>
      <c r="C22" s="9"/>
      <c r="D22" s="9"/>
      <c r="E22" s="9"/>
      <c r="F22" s="14">
        <f>F20-F21</f>
        <v>82668.75</v>
      </c>
    </row>
    <row r="25" spans="1:35" ht="15.75" customHeight="1">
      <c r="A25" s="16" t="s">
        <v>17</v>
      </c>
      <c r="B25" s="16" t="s">
        <v>18</v>
      </c>
      <c r="C25" s="17" t="s">
        <v>19</v>
      </c>
      <c r="D25" s="16" t="s">
        <v>20</v>
      </c>
      <c r="E25" s="16" t="s">
        <v>21</v>
      </c>
      <c r="F25" s="16" t="s">
        <v>8</v>
      </c>
      <c r="G25" s="17" t="s">
        <v>22</v>
      </c>
      <c r="H25" s="16" t="s">
        <v>23</v>
      </c>
      <c r="I25" s="16" t="s">
        <v>24</v>
      </c>
      <c r="J25" s="16" t="s">
        <v>25</v>
      </c>
      <c r="K25" s="16" t="s">
        <v>26</v>
      </c>
    </row>
    <row r="26" spans="1:35" ht="15.75" customHeight="1">
      <c r="A26" s="18">
        <v>156782</v>
      </c>
      <c r="B26" s="19">
        <v>45677</v>
      </c>
      <c r="C26" s="18"/>
      <c r="D26" s="18" t="s">
        <v>27</v>
      </c>
      <c r="E26" s="18">
        <v>200</v>
      </c>
      <c r="F26" s="18"/>
      <c r="G26" s="18"/>
      <c r="H26" s="20">
        <f>$E$3*0.25</f>
        <v>656.25</v>
      </c>
      <c r="I26" s="20">
        <f t="shared" ref="I26:I46" si="1">E26*H26</f>
        <v>131250</v>
      </c>
      <c r="J26" s="18" t="s">
        <v>28</v>
      </c>
      <c r="K26" s="21">
        <f t="shared" ref="K26:K30" si="2">I26</f>
        <v>131250</v>
      </c>
      <c r="Q26" s="22"/>
      <c r="R26" s="22"/>
      <c r="S26" s="22"/>
      <c r="T26" s="22"/>
      <c r="U26" s="22"/>
      <c r="V26" s="22"/>
      <c r="W26" s="22"/>
      <c r="X26" s="22"/>
      <c r="Y26" s="22"/>
      <c r="Z26" s="22"/>
      <c r="AA26" s="22"/>
      <c r="AB26" s="22"/>
      <c r="AC26" s="22"/>
      <c r="AD26" s="22"/>
      <c r="AE26" s="22"/>
      <c r="AF26" s="22"/>
      <c r="AG26" s="22"/>
      <c r="AH26" s="22"/>
      <c r="AI26" s="22"/>
    </row>
    <row r="27" spans="1:35" ht="15.75" customHeight="1">
      <c r="A27" s="18">
        <v>156806</v>
      </c>
      <c r="B27" s="19">
        <v>45743</v>
      </c>
      <c r="C27" s="18"/>
      <c r="D27" s="18" t="s">
        <v>29</v>
      </c>
      <c r="E27" s="18">
        <v>100</v>
      </c>
      <c r="F27" s="18"/>
      <c r="G27" s="18"/>
      <c r="H27" s="20">
        <f>$E$3*0.5</f>
        <v>1312.5</v>
      </c>
      <c r="I27" s="20">
        <f t="shared" si="1"/>
        <v>131250</v>
      </c>
      <c r="J27" s="18" t="s">
        <v>28</v>
      </c>
      <c r="K27" s="21">
        <f t="shared" si="2"/>
        <v>131250</v>
      </c>
      <c r="L27" s="2"/>
      <c r="Q27" s="22"/>
      <c r="R27" s="22"/>
      <c r="S27" s="22"/>
      <c r="T27" s="22"/>
      <c r="U27" s="22"/>
      <c r="V27" s="22"/>
      <c r="W27" s="22"/>
      <c r="X27" s="22"/>
      <c r="Y27" s="22"/>
      <c r="Z27" s="22"/>
      <c r="AA27" s="22"/>
      <c r="AB27" s="22"/>
      <c r="AC27" s="22"/>
      <c r="AD27" s="22"/>
      <c r="AE27" s="22"/>
      <c r="AF27" s="22"/>
      <c r="AG27" s="22"/>
      <c r="AH27" s="22"/>
      <c r="AI27" s="22"/>
    </row>
    <row r="28" spans="1:35" ht="15.75" customHeight="1">
      <c r="A28" s="2">
        <v>156834</v>
      </c>
      <c r="B28" s="7">
        <v>45826</v>
      </c>
      <c r="C28" s="2" t="s">
        <v>30</v>
      </c>
      <c r="D28" s="2" t="s">
        <v>31</v>
      </c>
      <c r="E28" s="2">
        <v>25</v>
      </c>
      <c r="F28" s="6"/>
      <c r="G28" s="6" t="s">
        <v>32</v>
      </c>
      <c r="H28" s="23">
        <f t="shared" ref="H28:H32" si="3">E$3*0.25</f>
        <v>656.25</v>
      </c>
      <c r="I28" s="6">
        <f t="shared" si="1"/>
        <v>16406.25</v>
      </c>
      <c r="J28" s="22" t="s">
        <v>28</v>
      </c>
      <c r="K28" s="21">
        <f t="shared" si="2"/>
        <v>16406.25</v>
      </c>
    </row>
    <row r="29" spans="1:35" ht="15.75" customHeight="1">
      <c r="A29" s="2">
        <v>156834</v>
      </c>
      <c r="B29" s="7">
        <v>45826</v>
      </c>
      <c r="C29" s="2" t="s">
        <v>33</v>
      </c>
      <c r="D29" s="2" t="s">
        <v>31</v>
      </c>
      <c r="E29" s="2">
        <v>5</v>
      </c>
      <c r="F29" s="6"/>
      <c r="G29" s="6" t="s">
        <v>34</v>
      </c>
      <c r="H29" s="23">
        <f t="shared" si="3"/>
        <v>656.25</v>
      </c>
      <c r="I29" s="6">
        <f t="shared" si="1"/>
        <v>3281.25</v>
      </c>
      <c r="J29" s="22" t="s">
        <v>28</v>
      </c>
      <c r="K29" s="21">
        <f t="shared" si="2"/>
        <v>3281.25</v>
      </c>
    </row>
    <row r="30" spans="1:35" ht="15.75" customHeight="1">
      <c r="A30" s="2">
        <v>156842</v>
      </c>
      <c r="B30" s="7">
        <v>45852</v>
      </c>
      <c r="C30" s="2" t="s">
        <v>35</v>
      </c>
      <c r="D30" s="2" t="s">
        <v>31</v>
      </c>
      <c r="E30" s="2">
        <v>20</v>
      </c>
      <c r="F30" s="6"/>
      <c r="G30" s="6" t="s">
        <v>32</v>
      </c>
      <c r="H30" s="23">
        <f t="shared" si="3"/>
        <v>656.25</v>
      </c>
      <c r="I30" s="6">
        <f t="shared" si="1"/>
        <v>13125</v>
      </c>
      <c r="J30" s="22" t="s">
        <v>28</v>
      </c>
      <c r="K30" s="21">
        <f t="shared" si="2"/>
        <v>13125</v>
      </c>
      <c r="L30" s="24"/>
      <c r="M30" s="2"/>
      <c r="N30" s="25"/>
    </row>
    <row r="31" spans="1:35" ht="15.75" customHeight="1">
      <c r="A31" s="2">
        <v>156846</v>
      </c>
      <c r="B31" s="7">
        <v>45866</v>
      </c>
      <c r="C31" s="2" t="s">
        <v>36</v>
      </c>
      <c r="D31" s="2" t="s">
        <v>31</v>
      </c>
      <c r="E31" s="2">
        <v>25</v>
      </c>
      <c r="F31" s="6"/>
      <c r="G31" s="6" t="s">
        <v>32</v>
      </c>
      <c r="H31" s="23">
        <f t="shared" si="3"/>
        <v>656.25</v>
      </c>
      <c r="I31" s="6">
        <f t="shared" si="1"/>
        <v>16406.25</v>
      </c>
      <c r="J31" s="22" t="s">
        <v>28</v>
      </c>
      <c r="K31" s="21">
        <v>16406.25</v>
      </c>
      <c r="L31" s="24"/>
      <c r="M31" s="2"/>
      <c r="N31" s="25"/>
      <c r="Q31" s="22"/>
      <c r="R31" s="22"/>
      <c r="S31" s="22"/>
      <c r="T31" s="22"/>
      <c r="U31" s="22"/>
      <c r="V31" s="22"/>
      <c r="W31" s="22"/>
      <c r="X31" s="22"/>
      <c r="Y31" s="22"/>
      <c r="Z31" s="22"/>
      <c r="AA31" s="22"/>
      <c r="AB31" s="22"/>
      <c r="AC31" s="22"/>
      <c r="AD31" s="22"/>
      <c r="AE31" s="22"/>
      <c r="AF31" s="22"/>
      <c r="AG31" s="22"/>
      <c r="AH31" s="22"/>
      <c r="AI31" s="22"/>
    </row>
    <row r="32" spans="1:35" ht="15.75" customHeight="1">
      <c r="A32" s="2">
        <v>156858</v>
      </c>
      <c r="B32" s="7">
        <v>45902</v>
      </c>
      <c r="C32" s="2" t="s">
        <v>37</v>
      </c>
      <c r="D32" s="2" t="s">
        <v>31</v>
      </c>
      <c r="E32" s="2">
        <v>25</v>
      </c>
      <c r="F32" s="6"/>
      <c r="G32" s="6" t="s">
        <v>32</v>
      </c>
      <c r="H32" s="23">
        <f t="shared" si="3"/>
        <v>656.25</v>
      </c>
      <c r="I32" s="6">
        <f t="shared" si="1"/>
        <v>16406.25</v>
      </c>
      <c r="J32" s="22" t="s">
        <v>28</v>
      </c>
      <c r="K32" s="21">
        <v>16406.25</v>
      </c>
      <c r="L32" s="24"/>
      <c r="M32" s="2"/>
      <c r="N32" s="25"/>
      <c r="Q32" s="22"/>
      <c r="R32" s="22"/>
      <c r="S32" s="22"/>
      <c r="T32" s="22"/>
      <c r="U32" s="22"/>
      <c r="V32" s="22"/>
      <c r="W32" s="22"/>
      <c r="X32" s="22"/>
      <c r="Y32" s="22"/>
      <c r="Z32" s="22"/>
      <c r="AA32" s="22"/>
      <c r="AB32" s="22"/>
      <c r="AC32" s="22"/>
      <c r="AD32" s="22"/>
      <c r="AE32" s="22"/>
      <c r="AF32" s="22"/>
      <c r="AG32" s="22"/>
      <c r="AH32" s="22"/>
      <c r="AI32" s="22"/>
    </row>
    <row r="33" spans="1:35" ht="15.75" customHeight="1">
      <c r="A33" s="18">
        <v>156835</v>
      </c>
      <c r="B33" s="26">
        <v>45834</v>
      </c>
      <c r="C33" s="18"/>
      <c r="D33" s="18" t="s">
        <v>38</v>
      </c>
      <c r="E33" s="18">
        <v>50</v>
      </c>
      <c r="F33" s="18"/>
      <c r="G33" s="18"/>
      <c r="H33" s="20">
        <f>$E$3*0.5</f>
        <v>1312.5</v>
      </c>
      <c r="I33" s="20">
        <f t="shared" si="1"/>
        <v>65625</v>
      </c>
      <c r="J33" s="18" t="s">
        <v>28</v>
      </c>
      <c r="K33" s="21">
        <f>I33</f>
        <v>65625</v>
      </c>
      <c r="L33" s="24"/>
      <c r="M33" s="2"/>
      <c r="N33" s="25"/>
      <c r="Q33" s="22"/>
      <c r="R33" s="22"/>
      <c r="S33" s="22"/>
      <c r="T33" s="22"/>
      <c r="U33" s="22"/>
      <c r="V33" s="22"/>
      <c r="W33" s="22"/>
      <c r="X33" s="22"/>
      <c r="Y33" s="22"/>
      <c r="Z33" s="22"/>
      <c r="AA33" s="22"/>
      <c r="AB33" s="22"/>
      <c r="AC33" s="22"/>
      <c r="AD33" s="22"/>
      <c r="AE33" s="22"/>
      <c r="AF33" s="22"/>
      <c r="AG33" s="22"/>
      <c r="AH33" s="22"/>
      <c r="AI33" s="22"/>
    </row>
    <row r="34" spans="1:35" ht="15.75" customHeight="1">
      <c r="A34" s="2">
        <v>156858</v>
      </c>
      <c r="B34" s="7">
        <v>45902</v>
      </c>
      <c r="C34" s="2" t="s">
        <v>39</v>
      </c>
      <c r="D34" s="2" t="s">
        <v>31</v>
      </c>
      <c r="E34" s="2">
        <v>5</v>
      </c>
      <c r="F34" s="27">
        <v>4</v>
      </c>
      <c r="G34" s="2" t="s">
        <v>32</v>
      </c>
      <c r="H34" s="23">
        <f t="shared" ref="H34:H37" si="4">E$3*0.25</f>
        <v>656.25</v>
      </c>
      <c r="I34" s="6">
        <f t="shared" si="1"/>
        <v>3281.25</v>
      </c>
      <c r="J34" s="22" t="s">
        <v>28</v>
      </c>
      <c r="K34" s="21">
        <v>3281.25</v>
      </c>
      <c r="L34" s="24"/>
      <c r="M34" s="2"/>
      <c r="N34" s="25"/>
      <c r="Q34" s="22"/>
      <c r="R34" s="22"/>
      <c r="S34" s="22"/>
      <c r="T34" s="22"/>
      <c r="U34" s="22"/>
      <c r="V34" s="22"/>
      <c r="W34" s="22"/>
      <c r="X34" s="22"/>
      <c r="Y34" s="22"/>
      <c r="Z34" s="22"/>
      <c r="AA34" s="22"/>
      <c r="AB34" s="22"/>
      <c r="AC34" s="22"/>
      <c r="AD34" s="22"/>
      <c r="AE34" s="22"/>
      <c r="AF34" s="22"/>
      <c r="AG34" s="22"/>
      <c r="AH34" s="22"/>
      <c r="AI34" s="22"/>
    </row>
    <row r="35" spans="1:35" ht="15.75" customHeight="1">
      <c r="A35" s="2">
        <v>156858</v>
      </c>
      <c r="B35" s="7">
        <v>45902</v>
      </c>
      <c r="C35" s="2" t="s">
        <v>39</v>
      </c>
      <c r="D35" s="2" t="s">
        <v>31</v>
      </c>
      <c r="E35" s="2">
        <v>5</v>
      </c>
      <c r="F35" s="27">
        <v>4</v>
      </c>
      <c r="G35" s="2" t="s">
        <v>34</v>
      </c>
      <c r="H35" s="23">
        <f t="shared" si="4"/>
        <v>656.25</v>
      </c>
      <c r="I35" s="6">
        <f t="shared" si="1"/>
        <v>3281.25</v>
      </c>
      <c r="J35" s="22" t="s">
        <v>28</v>
      </c>
      <c r="K35" s="21">
        <v>3281.25</v>
      </c>
      <c r="L35" s="24"/>
      <c r="M35" s="2"/>
      <c r="N35" s="25"/>
      <c r="Q35" s="22"/>
      <c r="R35" s="22"/>
      <c r="S35" s="22"/>
      <c r="T35" s="22"/>
      <c r="U35" s="22"/>
      <c r="V35" s="22"/>
      <c r="W35" s="22"/>
      <c r="X35" s="22"/>
      <c r="Y35" s="22"/>
      <c r="Z35" s="22"/>
      <c r="AA35" s="22"/>
      <c r="AB35" s="22"/>
      <c r="AC35" s="22"/>
      <c r="AD35" s="22"/>
      <c r="AE35" s="22"/>
      <c r="AF35" s="22"/>
      <c r="AG35" s="22"/>
      <c r="AH35" s="22"/>
      <c r="AI35" s="22"/>
    </row>
    <row r="36" spans="1:35" ht="15.75" customHeight="1">
      <c r="A36" s="2">
        <v>156880</v>
      </c>
      <c r="B36" s="7">
        <v>45958</v>
      </c>
      <c r="D36" s="2" t="s">
        <v>31</v>
      </c>
      <c r="E36" s="2">
        <v>20</v>
      </c>
      <c r="F36" s="27">
        <v>4</v>
      </c>
      <c r="G36" s="2" t="s">
        <v>32</v>
      </c>
      <c r="H36" s="23">
        <f t="shared" si="4"/>
        <v>656.25</v>
      </c>
      <c r="I36" s="6">
        <f t="shared" si="1"/>
        <v>13125</v>
      </c>
      <c r="J36" s="22" t="s">
        <v>28</v>
      </c>
      <c r="K36" s="21">
        <v>13125</v>
      </c>
      <c r="L36" s="24"/>
      <c r="M36" s="2"/>
      <c r="N36" s="25"/>
      <c r="Q36" s="22"/>
      <c r="R36" s="22"/>
      <c r="S36" s="22"/>
      <c r="T36" s="22"/>
      <c r="U36" s="22"/>
      <c r="V36" s="22"/>
      <c r="W36" s="22"/>
      <c r="X36" s="22"/>
      <c r="Y36" s="22"/>
      <c r="Z36" s="22"/>
      <c r="AA36" s="22"/>
      <c r="AB36" s="22"/>
      <c r="AC36" s="22"/>
      <c r="AD36" s="22"/>
      <c r="AE36" s="22"/>
      <c r="AF36" s="22"/>
      <c r="AG36" s="22"/>
      <c r="AH36" s="22"/>
      <c r="AI36" s="22"/>
    </row>
    <row r="37" spans="1:35" ht="15.75" customHeight="1">
      <c r="A37" s="2">
        <v>156886</v>
      </c>
      <c r="B37" s="7">
        <v>45981</v>
      </c>
      <c r="C37" s="2"/>
      <c r="D37" s="2" t="s">
        <v>31</v>
      </c>
      <c r="E37" s="2">
        <v>20</v>
      </c>
      <c r="F37" s="27">
        <v>4.7</v>
      </c>
      <c r="G37" s="2"/>
      <c r="H37" s="23">
        <f t="shared" si="4"/>
        <v>656.25</v>
      </c>
      <c r="I37" s="6">
        <f t="shared" si="1"/>
        <v>13125</v>
      </c>
      <c r="J37" s="22" t="s">
        <v>28</v>
      </c>
      <c r="K37" s="21"/>
      <c r="L37" s="2" t="s">
        <v>40</v>
      </c>
      <c r="M37" s="2"/>
      <c r="N37" s="25"/>
      <c r="Q37" s="22"/>
      <c r="R37" s="22"/>
      <c r="S37" s="22"/>
      <c r="T37" s="22"/>
      <c r="U37" s="22"/>
      <c r="V37" s="22"/>
      <c r="W37" s="22"/>
      <c r="X37" s="22"/>
      <c r="Y37" s="22"/>
      <c r="Z37" s="22"/>
      <c r="AA37" s="22"/>
      <c r="AB37" s="22"/>
      <c r="AC37" s="22"/>
      <c r="AD37" s="22"/>
      <c r="AE37" s="22"/>
      <c r="AF37" s="22"/>
      <c r="AG37" s="22"/>
      <c r="AH37" s="22"/>
      <c r="AI37" s="22"/>
    </row>
    <row r="38" spans="1:35" ht="15.75" customHeight="1">
      <c r="A38" s="22">
        <v>156886</v>
      </c>
      <c r="B38" s="28">
        <v>45981</v>
      </c>
      <c r="C38" s="22"/>
      <c r="D38" s="22" t="s">
        <v>41</v>
      </c>
      <c r="E38" s="22">
        <v>50</v>
      </c>
      <c r="F38" s="22"/>
      <c r="G38" s="22"/>
      <c r="H38" s="29">
        <f>$E$3*0.5</f>
        <v>1312.5</v>
      </c>
      <c r="I38" s="29">
        <f t="shared" si="1"/>
        <v>65625</v>
      </c>
      <c r="J38" s="22" t="s">
        <v>28</v>
      </c>
      <c r="K38" s="21">
        <f>I38</f>
        <v>65625</v>
      </c>
      <c r="L38" s="24"/>
      <c r="M38" s="2"/>
      <c r="N38" s="25"/>
      <c r="Q38" s="22"/>
      <c r="R38" s="22"/>
      <c r="S38" s="22"/>
      <c r="T38" s="22"/>
      <c r="U38" s="22"/>
      <c r="V38" s="22"/>
      <c r="W38" s="22"/>
      <c r="X38" s="22"/>
      <c r="Y38" s="22"/>
      <c r="Z38" s="22"/>
      <c r="AA38" s="22"/>
      <c r="AB38" s="22"/>
      <c r="AC38" s="22"/>
      <c r="AD38" s="22"/>
      <c r="AE38" s="22"/>
      <c r="AF38" s="22"/>
      <c r="AG38" s="22"/>
      <c r="AH38" s="22"/>
      <c r="AI38" s="22"/>
    </row>
    <row r="39" spans="1:35" ht="15.75" customHeight="1">
      <c r="A39" s="2"/>
      <c r="B39" s="2"/>
      <c r="C39" s="2" t="s">
        <v>42</v>
      </c>
      <c r="D39" s="2" t="s">
        <v>31</v>
      </c>
      <c r="E39" s="2">
        <v>50</v>
      </c>
      <c r="F39" s="2">
        <v>4.7</v>
      </c>
      <c r="G39" s="2"/>
      <c r="H39" s="23">
        <f>E$3*0.25</f>
        <v>656.25</v>
      </c>
      <c r="I39" s="6">
        <f t="shared" si="1"/>
        <v>32812.5</v>
      </c>
      <c r="J39" s="2"/>
      <c r="K39" s="21"/>
      <c r="L39" s="24"/>
      <c r="M39" s="2"/>
      <c r="N39" s="25"/>
      <c r="Q39" s="22"/>
      <c r="R39" s="22"/>
      <c r="S39" s="22"/>
      <c r="T39" s="22"/>
      <c r="U39" s="22"/>
      <c r="V39" s="22"/>
      <c r="W39" s="22"/>
      <c r="X39" s="22"/>
      <c r="Y39" s="22"/>
      <c r="Z39" s="22"/>
      <c r="AA39" s="22"/>
      <c r="AB39" s="22"/>
      <c r="AC39" s="22"/>
      <c r="AD39" s="22"/>
      <c r="AE39" s="22"/>
      <c r="AF39" s="22"/>
      <c r="AG39" s="22"/>
      <c r="AH39" s="22"/>
      <c r="AI39" s="22"/>
    </row>
    <row r="40" spans="1:35" ht="15.75" customHeight="1">
      <c r="A40" s="22">
        <v>156886</v>
      </c>
      <c r="B40" s="28">
        <v>45981</v>
      </c>
      <c r="C40" s="22"/>
      <c r="D40" s="22" t="s">
        <v>43</v>
      </c>
      <c r="E40" s="22">
        <v>30</v>
      </c>
      <c r="F40" s="22"/>
      <c r="G40" s="22"/>
      <c r="H40" s="29">
        <f>$E$3*0.75</f>
        <v>1968.75</v>
      </c>
      <c r="I40" s="29">
        <f t="shared" si="1"/>
        <v>59062.5</v>
      </c>
      <c r="J40" s="22" t="s">
        <v>28</v>
      </c>
      <c r="K40" s="21">
        <f>I40</f>
        <v>59062.5</v>
      </c>
      <c r="L40" s="2"/>
      <c r="Q40" s="22"/>
      <c r="R40" s="22"/>
      <c r="S40" s="22"/>
      <c r="T40" s="22"/>
      <c r="U40" s="22"/>
      <c r="V40" s="22"/>
      <c r="W40" s="22"/>
      <c r="X40" s="22"/>
      <c r="Y40" s="22"/>
      <c r="Z40" s="22"/>
      <c r="AA40" s="22"/>
      <c r="AB40" s="22"/>
      <c r="AC40" s="22"/>
      <c r="AD40" s="22"/>
      <c r="AE40" s="22"/>
      <c r="AF40" s="22"/>
      <c r="AG40" s="22"/>
      <c r="AH40" s="22"/>
      <c r="AI40" s="22"/>
    </row>
    <row r="41" spans="1:35" ht="15.75" customHeight="1">
      <c r="A41" s="2"/>
      <c r="B41" s="2"/>
      <c r="C41" s="2"/>
      <c r="D41" s="2" t="s">
        <v>31</v>
      </c>
      <c r="E41" s="2">
        <v>30</v>
      </c>
      <c r="F41" s="2">
        <v>4.7</v>
      </c>
      <c r="G41" s="2"/>
      <c r="H41" s="23">
        <f>E$3*0.25</f>
        <v>656.25</v>
      </c>
      <c r="I41" s="6">
        <f t="shared" si="1"/>
        <v>19687.5</v>
      </c>
      <c r="J41" s="2"/>
      <c r="K41" s="21"/>
      <c r="L41" s="24"/>
      <c r="M41" s="2"/>
      <c r="N41" s="25"/>
      <c r="Q41" s="22"/>
      <c r="R41" s="22"/>
      <c r="S41" s="22"/>
      <c r="T41" s="22"/>
      <c r="U41" s="22"/>
      <c r="V41" s="22"/>
      <c r="W41" s="22"/>
      <c r="X41" s="22"/>
      <c r="Y41" s="22"/>
      <c r="Z41" s="22"/>
      <c r="AA41" s="22"/>
      <c r="AB41" s="22"/>
      <c r="AC41" s="22"/>
      <c r="AD41" s="22"/>
      <c r="AE41" s="22"/>
      <c r="AF41" s="22"/>
      <c r="AG41" s="22"/>
      <c r="AH41" s="22"/>
      <c r="AI41" s="22"/>
    </row>
    <row r="42" spans="1:35" ht="15.75" customHeight="1">
      <c r="A42" s="18">
        <v>156803</v>
      </c>
      <c r="B42" s="19">
        <v>45740</v>
      </c>
      <c r="C42" s="18"/>
      <c r="D42" s="18" t="s">
        <v>44</v>
      </c>
      <c r="E42" s="18">
        <v>4</v>
      </c>
      <c r="F42" s="18"/>
      <c r="G42" s="18"/>
      <c r="H42" s="20">
        <f>$E$6</f>
        <v>2000</v>
      </c>
      <c r="I42" s="20">
        <f t="shared" si="1"/>
        <v>8000</v>
      </c>
      <c r="J42" s="18" t="s">
        <v>28</v>
      </c>
      <c r="K42" s="21">
        <f t="shared" ref="K42:K45" si="5">I42</f>
        <v>8000</v>
      </c>
      <c r="L42" s="2"/>
      <c r="Q42" s="22"/>
      <c r="R42" s="22"/>
      <c r="S42" s="22"/>
      <c r="T42" s="22"/>
      <c r="U42" s="22"/>
      <c r="V42" s="22"/>
      <c r="W42" s="22"/>
      <c r="X42" s="22"/>
      <c r="Y42" s="22"/>
      <c r="Z42" s="22"/>
      <c r="AA42" s="22"/>
      <c r="AB42" s="22"/>
      <c r="AC42" s="22"/>
      <c r="AD42" s="22"/>
      <c r="AE42" s="22"/>
      <c r="AF42" s="22"/>
      <c r="AG42" s="22"/>
      <c r="AH42" s="22"/>
      <c r="AI42" s="22"/>
    </row>
    <row r="43" spans="1:35" ht="15.75" customHeight="1">
      <c r="A43" s="18">
        <v>156812</v>
      </c>
      <c r="B43" s="19">
        <v>45756</v>
      </c>
      <c r="C43" s="18"/>
      <c r="D43" s="18" t="s">
        <v>45</v>
      </c>
      <c r="E43" s="18">
        <v>12</v>
      </c>
      <c r="F43" s="18"/>
      <c r="G43" s="18"/>
      <c r="H43" s="20">
        <f>$E$9*0.5</f>
        <v>1463.5</v>
      </c>
      <c r="I43" s="20">
        <f t="shared" si="1"/>
        <v>17562</v>
      </c>
      <c r="J43" s="18" t="s">
        <v>28</v>
      </c>
      <c r="K43" s="21">
        <f t="shared" si="5"/>
        <v>17562</v>
      </c>
      <c r="L43" s="2"/>
      <c r="Q43" s="22"/>
      <c r="R43" s="22"/>
      <c r="S43" s="22"/>
      <c r="T43" s="22"/>
      <c r="U43" s="22"/>
      <c r="V43" s="22"/>
      <c r="W43" s="22"/>
      <c r="X43" s="22"/>
      <c r="Y43" s="22"/>
      <c r="Z43" s="22"/>
      <c r="AA43" s="22"/>
      <c r="AB43" s="22"/>
      <c r="AC43" s="22"/>
      <c r="AD43" s="22"/>
      <c r="AE43" s="22"/>
      <c r="AF43" s="22"/>
      <c r="AG43" s="22"/>
      <c r="AH43" s="22"/>
      <c r="AI43" s="22"/>
    </row>
    <row r="44" spans="1:35" ht="15.75" customHeight="1">
      <c r="A44" s="2">
        <v>156841</v>
      </c>
      <c r="B44" s="7">
        <v>45848</v>
      </c>
      <c r="C44" s="2" t="s">
        <v>46</v>
      </c>
      <c r="D44" s="2" t="s">
        <v>47</v>
      </c>
      <c r="E44" s="2">
        <v>12</v>
      </c>
      <c r="F44" s="2"/>
      <c r="G44" s="2"/>
      <c r="H44" s="23">
        <f>E$9*0.5</f>
        <v>1463.5</v>
      </c>
      <c r="I44" s="6">
        <f t="shared" si="1"/>
        <v>17562</v>
      </c>
      <c r="J44" s="22" t="s">
        <v>28</v>
      </c>
      <c r="K44" s="21">
        <f t="shared" si="5"/>
        <v>17562</v>
      </c>
      <c r="L44" s="24"/>
      <c r="N44" s="25"/>
      <c r="T44" s="22"/>
      <c r="U44" s="22"/>
      <c r="V44" s="22"/>
      <c r="W44" s="22"/>
      <c r="X44" s="22"/>
      <c r="Y44" s="22"/>
      <c r="Z44" s="22"/>
      <c r="AA44" s="22"/>
      <c r="AB44" s="22"/>
      <c r="AC44" s="22"/>
      <c r="AD44" s="22"/>
      <c r="AE44" s="22"/>
      <c r="AF44" s="22"/>
      <c r="AG44" s="22"/>
      <c r="AH44" s="22"/>
      <c r="AI44" s="22"/>
    </row>
    <row r="45" spans="1:35" ht="15.75" customHeight="1">
      <c r="A45" s="18">
        <v>156863</v>
      </c>
      <c r="B45" s="19">
        <v>45919</v>
      </c>
      <c r="C45" s="18"/>
      <c r="D45" s="18" t="s">
        <v>48</v>
      </c>
      <c r="E45" s="18">
        <v>25</v>
      </c>
      <c r="F45" s="18"/>
      <c r="G45" s="18"/>
      <c r="H45" s="20">
        <f>$E$12*0.75</f>
        <v>2045.25</v>
      </c>
      <c r="I45" s="20">
        <f t="shared" si="1"/>
        <v>51131.25</v>
      </c>
      <c r="J45" s="18" t="s">
        <v>28</v>
      </c>
      <c r="K45" s="21">
        <f t="shared" si="5"/>
        <v>51131.25</v>
      </c>
      <c r="L45" s="2"/>
      <c r="Q45" s="22"/>
      <c r="R45" s="22"/>
      <c r="S45" s="22"/>
      <c r="T45" s="22"/>
      <c r="U45" s="22"/>
      <c r="V45" s="22"/>
      <c r="W45" s="22"/>
      <c r="X45" s="22"/>
      <c r="Y45" s="22"/>
      <c r="Z45" s="22"/>
      <c r="AA45" s="22"/>
      <c r="AB45" s="22"/>
      <c r="AC45" s="22"/>
      <c r="AD45" s="22"/>
      <c r="AE45" s="22"/>
      <c r="AF45" s="22"/>
      <c r="AG45" s="22"/>
      <c r="AH45" s="22"/>
      <c r="AI45" s="22"/>
    </row>
    <row r="46" spans="1:35" ht="15.75" customHeight="1">
      <c r="A46" s="2">
        <v>156898</v>
      </c>
      <c r="B46" s="7">
        <v>46048</v>
      </c>
      <c r="D46" s="2" t="s">
        <v>31</v>
      </c>
      <c r="E46" s="2">
        <v>25</v>
      </c>
      <c r="F46" s="2"/>
      <c r="G46" s="2"/>
      <c r="H46" s="23">
        <f>E$12*0.25</f>
        <v>681.75</v>
      </c>
      <c r="I46" s="6">
        <f t="shared" si="1"/>
        <v>17043.75</v>
      </c>
      <c r="J46" s="22"/>
      <c r="K46" s="30"/>
      <c r="L46" s="24"/>
      <c r="N46" s="25"/>
      <c r="T46" s="22"/>
      <c r="U46" s="22"/>
      <c r="V46" s="22"/>
      <c r="W46" s="22"/>
      <c r="X46" s="22"/>
      <c r="Y46" s="22"/>
      <c r="Z46" s="22"/>
      <c r="AA46" s="22"/>
      <c r="AB46" s="22"/>
      <c r="AC46" s="22"/>
      <c r="AD46" s="22"/>
      <c r="AE46" s="22"/>
      <c r="AF46" s="22"/>
      <c r="AG46" s="22"/>
      <c r="AH46" s="22"/>
      <c r="AI46" s="22"/>
    </row>
    <row r="47" spans="1:35" ht="15.75" customHeight="1">
      <c r="F47" s="31"/>
      <c r="G47" s="6"/>
      <c r="H47" s="6"/>
      <c r="J47" s="2"/>
      <c r="K47" s="2"/>
      <c r="N47" s="25"/>
    </row>
    <row r="48" spans="1:35" ht="15.75" customHeight="1">
      <c r="A48" s="32"/>
      <c r="B48" s="32"/>
      <c r="C48" s="32"/>
      <c r="D48" s="32"/>
      <c r="E48" s="32"/>
      <c r="F48" s="32"/>
      <c r="G48" s="32"/>
      <c r="H48" s="32"/>
      <c r="I48" s="32"/>
      <c r="J48" s="32"/>
      <c r="K48" s="32"/>
      <c r="N48" s="25"/>
      <c r="T48" s="22"/>
      <c r="U48" s="22"/>
      <c r="V48" s="22"/>
      <c r="W48" s="22"/>
      <c r="X48" s="22"/>
      <c r="Y48" s="22"/>
      <c r="Z48" s="22"/>
      <c r="AA48" s="22"/>
      <c r="AB48" s="22"/>
      <c r="AC48" s="22"/>
      <c r="AD48" s="22"/>
      <c r="AE48" s="22"/>
      <c r="AF48" s="22"/>
      <c r="AG48" s="22"/>
      <c r="AH48" s="22"/>
      <c r="AI48" s="22"/>
    </row>
    <row r="49" spans="1:35" ht="15.75" customHeight="1">
      <c r="A49" s="2">
        <v>156781</v>
      </c>
      <c r="B49" s="7">
        <v>45674</v>
      </c>
      <c r="C49" s="2"/>
      <c r="D49" s="2" t="s">
        <v>49</v>
      </c>
      <c r="E49" s="2">
        <v>60</v>
      </c>
      <c r="F49" s="6"/>
      <c r="G49" s="6"/>
      <c r="H49" s="6"/>
      <c r="J49" s="2"/>
      <c r="K49" s="2"/>
      <c r="N49" s="25"/>
    </row>
    <row r="50" spans="1:35" ht="15.75" customHeight="1">
      <c r="A50" s="2">
        <v>156791</v>
      </c>
      <c r="B50" s="7">
        <v>45707</v>
      </c>
      <c r="C50" s="2"/>
      <c r="D50" s="2" t="s">
        <v>50</v>
      </c>
      <c r="E50" s="2">
        <v>75</v>
      </c>
      <c r="F50" s="31" t="s">
        <v>51</v>
      </c>
      <c r="G50" s="6"/>
      <c r="H50" s="6"/>
      <c r="J50" s="2"/>
      <c r="K50" s="6"/>
      <c r="N50" s="25"/>
    </row>
    <row r="51" spans="1:35" ht="15.75" customHeight="1">
      <c r="A51" s="2"/>
      <c r="B51" s="2"/>
      <c r="C51" s="2"/>
      <c r="D51" s="2"/>
      <c r="E51" s="2"/>
      <c r="F51" s="2"/>
      <c r="J51" s="2"/>
      <c r="T51" s="22"/>
      <c r="U51" s="22"/>
      <c r="V51" s="22"/>
      <c r="W51" s="22"/>
      <c r="X51" s="22"/>
      <c r="Y51" s="22"/>
      <c r="Z51" s="22"/>
      <c r="AA51" s="22"/>
      <c r="AB51" s="22"/>
      <c r="AC51" s="22"/>
      <c r="AD51" s="22"/>
      <c r="AE51" s="22"/>
      <c r="AF51" s="22"/>
      <c r="AG51" s="22"/>
      <c r="AH51" s="22"/>
      <c r="AI51" s="22"/>
    </row>
    <row r="52" spans="1:35" ht="15.75" customHeight="1">
      <c r="F52" s="6"/>
      <c r="G52" s="6"/>
      <c r="H52" s="6"/>
      <c r="J52" s="2"/>
      <c r="K52" s="2"/>
    </row>
    <row r="53" spans="1:35" ht="15.75" customHeight="1">
      <c r="H53" s="6"/>
      <c r="J53" s="2"/>
      <c r="K53" s="6"/>
    </row>
    <row r="54" spans="1:35" ht="15.75" customHeight="1">
      <c r="H54" s="6"/>
      <c r="J54" s="2"/>
      <c r="K54" s="6"/>
    </row>
    <row r="55" spans="1:35" ht="13">
      <c r="H55" s="6"/>
      <c r="J55" s="2"/>
      <c r="K55" s="6"/>
      <c r="T55" s="22"/>
      <c r="U55" s="22"/>
      <c r="V55" s="22"/>
      <c r="W55" s="22"/>
      <c r="X55" s="22"/>
      <c r="Y55" s="22"/>
      <c r="Z55" s="22"/>
      <c r="AA55" s="22"/>
      <c r="AB55" s="22"/>
      <c r="AC55" s="22"/>
      <c r="AD55" s="22"/>
      <c r="AE55" s="22"/>
      <c r="AF55" s="22"/>
      <c r="AG55" s="22"/>
      <c r="AH55" s="22"/>
      <c r="AI55" s="22"/>
    </row>
    <row r="56" spans="1:35" ht="13">
      <c r="A56" s="2"/>
      <c r="B56" s="7"/>
      <c r="C56" s="2"/>
      <c r="D56" s="2"/>
      <c r="E56" s="2"/>
      <c r="J56" s="2"/>
      <c r="T56" s="22"/>
      <c r="U56" s="22"/>
      <c r="V56" s="22"/>
      <c r="W56" s="22"/>
      <c r="X56" s="22"/>
      <c r="Y56" s="22"/>
      <c r="Z56" s="22"/>
      <c r="AA56" s="22"/>
      <c r="AB56" s="22"/>
      <c r="AC56" s="22"/>
      <c r="AD56" s="22"/>
      <c r="AE56" s="22"/>
      <c r="AF56" s="22"/>
      <c r="AG56" s="22"/>
      <c r="AH56" s="22"/>
      <c r="AI56" s="22"/>
    </row>
    <row r="57" spans="1:35" ht="13">
      <c r="A57" s="2"/>
      <c r="B57" s="2"/>
      <c r="C57" s="2"/>
      <c r="D57" s="2"/>
      <c r="E57" s="2"/>
      <c r="F57" s="2"/>
      <c r="J57" s="2"/>
      <c r="T57" s="22"/>
      <c r="U57" s="22"/>
      <c r="V57" s="22"/>
      <c r="W57" s="22"/>
      <c r="X57" s="22"/>
      <c r="Y57" s="22"/>
      <c r="Z57" s="22"/>
      <c r="AA57" s="22"/>
      <c r="AB57" s="22"/>
      <c r="AC57" s="22"/>
      <c r="AD57" s="22"/>
      <c r="AE57" s="22"/>
      <c r="AF57" s="22"/>
      <c r="AG57" s="22"/>
      <c r="AH57" s="22"/>
      <c r="AI57" s="22"/>
    </row>
    <row r="58" spans="1:35" ht="13">
      <c r="B58" s="33"/>
      <c r="C58" s="2"/>
      <c r="D58" s="2"/>
      <c r="F58" s="6"/>
      <c r="H58" s="6"/>
      <c r="J58" s="2"/>
      <c r="K58" s="6"/>
    </row>
    <row r="59" spans="1:35" ht="13">
      <c r="B59" s="33"/>
      <c r="F59" s="6"/>
      <c r="H59" s="6"/>
      <c r="J59" s="2"/>
      <c r="K59" s="6"/>
      <c r="T59" s="22"/>
      <c r="U59" s="22"/>
      <c r="V59" s="22"/>
      <c r="W59" s="22"/>
      <c r="X59" s="22"/>
      <c r="Y59" s="22"/>
      <c r="Z59" s="22"/>
      <c r="AA59" s="22"/>
      <c r="AB59" s="22"/>
      <c r="AC59" s="22"/>
      <c r="AD59" s="22"/>
      <c r="AE59" s="22"/>
      <c r="AF59" s="22"/>
      <c r="AG59" s="22"/>
      <c r="AH59" s="22"/>
      <c r="AI59" s="22"/>
    </row>
    <row r="60" spans="1:35" ht="13">
      <c r="B60" s="33"/>
      <c r="F60" s="6"/>
      <c r="H60" s="6"/>
      <c r="J60" s="2"/>
      <c r="K60" s="6"/>
    </row>
    <row r="61" spans="1:35" ht="13">
      <c r="B61" s="33"/>
      <c r="F61" s="6"/>
      <c r="H61" s="6"/>
      <c r="J61" s="2"/>
      <c r="K61" s="6"/>
    </row>
    <row r="62" spans="1:35" ht="13">
      <c r="A62" s="2"/>
      <c r="B62" s="33"/>
      <c r="C62" s="2"/>
      <c r="D62" s="2"/>
      <c r="E62" s="2"/>
      <c r="F62" s="6"/>
      <c r="G62" s="2"/>
      <c r="H62" s="6"/>
      <c r="J62" s="2"/>
      <c r="T62" s="34"/>
      <c r="U62" s="34"/>
      <c r="V62" s="34"/>
      <c r="W62" s="34"/>
      <c r="X62" s="34"/>
      <c r="Y62" s="34"/>
      <c r="Z62" s="34"/>
      <c r="AA62" s="34"/>
      <c r="AB62" s="34"/>
      <c r="AC62" s="34"/>
      <c r="AD62" s="34"/>
      <c r="AE62" s="34"/>
      <c r="AF62" s="34"/>
      <c r="AG62" s="34"/>
      <c r="AH62" s="34"/>
      <c r="AI62" s="34"/>
    </row>
    <row r="63" spans="1:35" ht="13">
      <c r="A63" s="2"/>
      <c r="B63" s="2"/>
      <c r="C63" s="2"/>
      <c r="D63" s="2"/>
      <c r="E63" s="2"/>
      <c r="F63" s="2"/>
      <c r="J63" s="2"/>
      <c r="T63" s="22"/>
      <c r="U63" s="22"/>
      <c r="V63" s="22"/>
      <c r="W63" s="22"/>
      <c r="X63" s="22"/>
      <c r="Y63" s="22"/>
      <c r="Z63" s="22"/>
      <c r="AA63" s="22"/>
      <c r="AB63" s="22"/>
      <c r="AC63" s="22"/>
      <c r="AD63" s="22"/>
      <c r="AE63" s="22"/>
      <c r="AF63" s="22"/>
      <c r="AG63" s="22"/>
      <c r="AH63" s="22"/>
      <c r="AI63" s="22"/>
    </row>
    <row r="64" spans="1:35" ht="13">
      <c r="B64" s="33"/>
      <c r="C64" s="2"/>
      <c r="D64" s="2"/>
      <c r="F64" s="6"/>
      <c r="H64" s="6"/>
      <c r="J64" s="2"/>
      <c r="K64" s="6"/>
      <c r="T64" s="22"/>
      <c r="U64" s="22"/>
      <c r="V64" s="22"/>
      <c r="W64" s="22"/>
      <c r="X64" s="22"/>
      <c r="Y64" s="22"/>
      <c r="Z64" s="22"/>
      <c r="AA64" s="22"/>
      <c r="AB64" s="22"/>
      <c r="AC64" s="22"/>
      <c r="AD64" s="22"/>
      <c r="AE64" s="22"/>
      <c r="AF64" s="22"/>
      <c r="AG64" s="22"/>
      <c r="AH64" s="22"/>
      <c r="AI64" s="22"/>
    </row>
    <row r="65" spans="1:35" ht="13">
      <c r="A65" s="2"/>
      <c r="B65" s="33"/>
      <c r="C65" s="2"/>
      <c r="D65" s="2"/>
      <c r="E65" s="2"/>
      <c r="F65" s="6"/>
      <c r="G65" s="2"/>
      <c r="H65" s="6"/>
      <c r="J65" s="2"/>
      <c r="T65" s="34"/>
      <c r="U65" s="34"/>
      <c r="V65" s="34"/>
      <c r="W65" s="34"/>
      <c r="X65" s="34"/>
      <c r="Y65" s="34"/>
      <c r="Z65" s="34"/>
      <c r="AA65" s="34"/>
      <c r="AB65" s="34"/>
      <c r="AC65" s="34"/>
      <c r="AD65" s="34"/>
      <c r="AE65" s="34"/>
      <c r="AF65" s="34"/>
      <c r="AG65" s="34"/>
      <c r="AH65" s="34"/>
      <c r="AI65" s="34"/>
    </row>
    <row r="66" spans="1:35" ht="13">
      <c r="A66" s="2"/>
      <c r="B66" s="2"/>
      <c r="C66" s="2"/>
      <c r="D66" s="2"/>
      <c r="E66" s="2"/>
      <c r="F66" s="2"/>
      <c r="J66" s="2"/>
      <c r="T66" s="22"/>
      <c r="U66" s="22"/>
      <c r="V66" s="22"/>
      <c r="W66" s="22"/>
      <c r="X66" s="22"/>
      <c r="Y66" s="22"/>
      <c r="Z66" s="22"/>
      <c r="AA66" s="22"/>
      <c r="AB66" s="22"/>
      <c r="AC66" s="22"/>
      <c r="AD66" s="22"/>
      <c r="AE66" s="22"/>
      <c r="AF66" s="22"/>
      <c r="AG66" s="22"/>
      <c r="AH66" s="22"/>
      <c r="AI66" s="22"/>
    </row>
    <row r="67" spans="1:35" ht="13">
      <c r="B67" s="33"/>
      <c r="F67" s="6"/>
      <c r="G67" s="6"/>
      <c r="H67" s="6"/>
      <c r="J67" s="2"/>
      <c r="K67" s="6"/>
      <c r="T67" s="22"/>
      <c r="U67" s="22"/>
      <c r="V67" s="22"/>
      <c r="W67" s="22"/>
      <c r="X67" s="22"/>
      <c r="Y67" s="22"/>
      <c r="Z67" s="22"/>
      <c r="AA67" s="22"/>
      <c r="AB67" s="22"/>
      <c r="AC67" s="22"/>
      <c r="AD67" s="22"/>
      <c r="AE67" s="22"/>
      <c r="AF67" s="22"/>
      <c r="AG67" s="22"/>
      <c r="AH67" s="22"/>
      <c r="AI67" s="22"/>
    </row>
    <row r="68" spans="1:35" ht="13">
      <c r="F68" s="6"/>
      <c r="H68" s="6"/>
      <c r="J68" s="2"/>
      <c r="K68" s="6"/>
      <c r="T68" s="22"/>
      <c r="U68" s="22"/>
      <c r="V68" s="22"/>
      <c r="W68" s="22"/>
      <c r="X68" s="22"/>
      <c r="Y68" s="22"/>
      <c r="Z68" s="22"/>
      <c r="AA68" s="22"/>
      <c r="AB68" s="22"/>
      <c r="AC68" s="22"/>
      <c r="AD68" s="22"/>
      <c r="AE68" s="22"/>
      <c r="AF68" s="22"/>
      <c r="AG68" s="22"/>
      <c r="AH68" s="22"/>
      <c r="AI68" s="22"/>
    </row>
    <row r="69" spans="1:35" ht="13">
      <c r="F69" s="6"/>
      <c r="H69" s="6"/>
      <c r="J69" s="2"/>
      <c r="K69" s="6"/>
      <c r="T69" s="22"/>
      <c r="U69" s="22"/>
      <c r="V69" s="22"/>
      <c r="W69" s="22"/>
      <c r="X69" s="22"/>
      <c r="Y69" s="22"/>
      <c r="Z69" s="22"/>
      <c r="AA69" s="22"/>
      <c r="AB69" s="22"/>
      <c r="AC69" s="22"/>
      <c r="AD69" s="22"/>
      <c r="AE69" s="22"/>
      <c r="AF69" s="22"/>
      <c r="AG69" s="22"/>
      <c r="AH69" s="22"/>
      <c r="AI69" s="22"/>
    </row>
    <row r="70" spans="1:35" ht="13">
      <c r="F70" s="6"/>
      <c r="H70" s="6"/>
      <c r="J70" s="2"/>
      <c r="K70" s="6"/>
    </row>
    <row r="71" spans="1:35" ht="13">
      <c r="F71" s="6"/>
      <c r="H71" s="6"/>
      <c r="J71" s="2"/>
      <c r="K71" s="6"/>
      <c r="T71" s="22"/>
      <c r="U71" s="22"/>
      <c r="V71" s="22"/>
      <c r="W71" s="22"/>
      <c r="X71" s="22"/>
      <c r="Y71" s="22"/>
      <c r="Z71" s="22"/>
      <c r="AA71" s="22"/>
      <c r="AB71" s="22"/>
      <c r="AC71" s="22"/>
      <c r="AD71" s="22"/>
      <c r="AE71" s="22"/>
      <c r="AF71" s="22"/>
      <c r="AG71" s="22"/>
      <c r="AH71" s="22"/>
      <c r="AI71" s="22"/>
    </row>
    <row r="72" spans="1:35" ht="13">
      <c r="F72" s="6"/>
      <c r="H72" s="6"/>
      <c r="J72" s="2"/>
      <c r="K72" s="6"/>
      <c r="T72" s="22"/>
      <c r="U72" s="22"/>
      <c r="V72" s="22"/>
      <c r="W72" s="22"/>
      <c r="X72" s="22"/>
      <c r="Y72" s="22"/>
      <c r="Z72" s="22"/>
      <c r="AA72" s="22"/>
      <c r="AB72" s="22"/>
      <c r="AC72" s="22"/>
      <c r="AD72" s="22"/>
      <c r="AE72" s="22"/>
      <c r="AF72" s="22"/>
      <c r="AG72" s="22"/>
      <c r="AH72" s="22"/>
      <c r="AI72" s="22"/>
    </row>
    <row r="73" spans="1:35" ht="13">
      <c r="A73" s="2"/>
      <c r="B73" s="2"/>
      <c r="C73" s="2"/>
      <c r="D73" s="2"/>
      <c r="E73" s="2"/>
      <c r="F73" s="2"/>
      <c r="J73" s="2"/>
    </row>
    <row r="74" spans="1:35" ht="13">
      <c r="B74" s="33"/>
      <c r="F74" s="6"/>
      <c r="G74" s="6"/>
      <c r="H74" s="6"/>
      <c r="J74" s="2"/>
      <c r="K74" s="6"/>
      <c r="T74" s="22"/>
      <c r="U74" s="22"/>
      <c r="V74" s="22"/>
      <c r="W74" s="22"/>
      <c r="X74" s="22"/>
      <c r="Y74" s="22"/>
      <c r="Z74" s="22"/>
      <c r="AA74" s="22"/>
      <c r="AB74" s="22"/>
      <c r="AC74" s="22"/>
      <c r="AD74" s="22"/>
      <c r="AE74" s="22"/>
      <c r="AF74" s="22"/>
      <c r="AG74" s="22"/>
      <c r="AH74" s="22"/>
      <c r="AI74" s="22"/>
    </row>
    <row r="75" spans="1:35" ht="13">
      <c r="F75" s="6"/>
      <c r="G75" s="6"/>
      <c r="H75" s="6"/>
      <c r="J75" s="2"/>
      <c r="K75" s="6"/>
    </row>
    <row r="76" spans="1:35" ht="13">
      <c r="F76" s="6"/>
      <c r="G76" s="6"/>
      <c r="H76" s="6"/>
      <c r="J76" s="2"/>
      <c r="K76" s="6"/>
    </row>
    <row r="77" spans="1:35" ht="13">
      <c r="F77" s="6"/>
      <c r="G77" s="6"/>
      <c r="H77" s="6"/>
      <c r="J77" s="2"/>
    </row>
    <row r="85" spans="2:8" ht="13">
      <c r="F85" s="6"/>
      <c r="H85" s="24"/>
    </row>
    <row r="86" spans="2:8" ht="13">
      <c r="G86" s="24"/>
    </row>
    <row r="87" spans="2:8" ht="13">
      <c r="C87" s="2"/>
      <c r="D87" s="2"/>
    </row>
    <row r="88" spans="2:8" ht="13">
      <c r="G88" s="33"/>
    </row>
    <row r="89" spans="2:8" ht="13">
      <c r="G89" s="33"/>
    </row>
    <row r="90" spans="2:8" ht="13">
      <c r="G90" s="33"/>
    </row>
    <row r="91" spans="2:8" ht="13">
      <c r="C91" s="2"/>
      <c r="D91" s="2"/>
    </row>
    <row r="92" spans="2:8" ht="13">
      <c r="F92" s="6"/>
    </row>
    <row r="93" spans="2:8" ht="13">
      <c r="F93" s="6"/>
    </row>
    <row r="96" spans="2:8" ht="13">
      <c r="B96" s="2"/>
      <c r="C96" s="2"/>
      <c r="D96" s="2"/>
    </row>
    <row r="111" spans="2:21" ht="13">
      <c r="C111" s="35"/>
      <c r="D111" s="35">
        <v>45200</v>
      </c>
      <c r="E111" s="2" t="s">
        <v>52</v>
      </c>
      <c r="F111" s="2" t="s">
        <v>53</v>
      </c>
      <c r="G111" s="2"/>
      <c r="H111" s="2" t="s">
        <v>54</v>
      </c>
      <c r="I111" s="2" t="s">
        <v>55</v>
      </c>
      <c r="J111" s="2" t="s">
        <v>56</v>
      </c>
      <c r="K111" s="2" t="s">
        <v>57</v>
      </c>
      <c r="M111" s="2"/>
    </row>
    <row r="112" spans="2:21" ht="16">
      <c r="B112" s="36" t="s">
        <v>58</v>
      </c>
      <c r="C112" s="37"/>
      <c r="D112" s="37"/>
      <c r="E112" s="38">
        <v>100</v>
      </c>
      <c r="F112" s="39"/>
      <c r="G112" s="38"/>
      <c r="H112" s="38"/>
      <c r="I112" s="39">
        <v>50</v>
      </c>
      <c r="J112" s="38"/>
      <c r="K112" s="38">
        <v>30</v>
      </c>
      <c r="L112" s="2"/>
      <c r="M112" s="2"/>
      <c r="N112" s="2"/>
      <c r="O112" s="2"/>
      <c r="P112" s="2"/>
      <c r="Q112" s="36"/>
      <c r="R112" s="36"/>
      <c r="S112" s="36"/>
      <c r="T112" s="36">
        <f t="shared" ref="T112:T115" si="6">SUM(D112:P112)</f>
        <v>180</v>
      </c>
      <c r="U112" s="40"/>
    </row>
    <row r="113" spans="2:21" ht="16">
      <c r="B113" s="36" t="s">
        <v>59</v>
      </c>
      <c r="C113" s="41"/>
      <c r="D113" s="41"/>
      <c r="E113" s="42"/>
      <c r="F113" s="42">
        <v>35</v>
      </c>
      <c r="G113" s="42"/>
      <c r="H113" s="42">
        <v>15</v>
      </c>
      <c r="I113" s="43">
        <v>50</v>
      </c>
      <c r="J113" s="42"/>
      <c r="K113" s="42"/>
      <c r="L113" s="2"/>
      <c r="M113" s="2"/>
      <c r="N113" s="2"/>
      <c r="O113" s="2"/>
      <c r="P113" s="2"/>
      <c r="Q113" s="36"/>
      <c r="R113" s="36"/>
      <c r="S113" s="36"/>
      <c r="T113" s="36">
        <f t="shared" si="6"/>
        <v>100</v>
      </c>
      <c r="U113" s="40"/>
    </row>
    <row r="114" spans="2:21" ht="16">
      <c r="B114" s="36" t="s">
        <v>59</v>
      </c>
      <c r="C114" s="41"/>
      <c r="D114" s="41"/>
      <c r="E114" s="42"/>
      <c r="F114" s="42"/>
      <c r="G114" s="42"/>
      <c r="H114" s="42"/>
      <c r="I114" s="43"/>
      <c r="J114" s="42"/>
      <c r="K114" s="42"/>
      <c r="M114" s="2"/>
      <c r="N114" s="2"/>
      <c r="O114" s="2"/>
      <c r="P114" s="2"/>
      <c r="Q114" s="36"/>
      <c r="R114" s="36"/>
      <c r="S114" s="36"/>
      <c r="T114" s="36">
        <f t="shared" si="6"/>
        <v>0</v>
      </c>
      <c r="U114" s="40"/>
    </row>
    <row r="115" spans="2:21" ht="16">
      <c r="B115" s="36" t="s">
        <v>59</v>
      </c>
      <c r="C115" s="41"/>
      <c r="D115" s="41"/>
      <c r="E115" s="42"/>
      <c r="F115" s="42"/>
      <c r="G115" s="42"/>
      <c r="H115" s="42"/>
      <c r="I115" s="43"/>
      <c r="J115" s="42"/>
      <c r="K115" s="42"/>
      <c r="M115" s="2"/>
      <c r="N115" s="2"/>
      <c r="O115" s="2"/>
      <c r="P115" s="2"/>
      <c r="Q115" s="36"/>
      <c r="R115" s="36"/>
      <c r="S115" s="36"/>
      <c r="T115" s="36">
        <f t="shared" si="6"/>
        <v>0</v>
      </c>
      <c r="U115" s="40"/>
    </row>
    <row r="116" spans="2:21" ht="16">
      <c r="B116" s="36"/>
      <c r="C116" s="40"/>
      <c r="D116" s="40"/>
      <c r="E116" s="40"/>
      <c r="F116" s="40"/>
      <c r="G116" s="40"/>
      <c r="H116" s="40"/>
      <c r="I116" s="40"/>
      <c r="J116" s="40"/>
      <c r="K116" s="40"/>
      <c r="Q116" s="40"/>
      <c r="R116" s="40"/>
      <c r="S116" s="40"/>
      <c r="T116" s="40"/>
      <c r="U116" s="40"/>
    </row>
    <row r="117" spans="2:21" ht="16">
      <c r="B117" s="36" t="s">
        <v>60</v>
      </c>
      <c r="C117" s="44"/>
      <c r="D117" s="44">
        <f t="shared" ref="D117:F117" si="7">D$112*(2300*0.5)</f>
        <v>0</v>
      </c>
      <c r="E117" s="44">
        <f t="shared" si="7"/>
        <v>115000</v>
      </c>
      <c r="F117" s="44">
        <f t="shared" si="7"/>
        <v>0</v>
      </c>
      <c r="G117" s="44"/>
      <c r="H117" s="44">
        <f t="shared" ref="H117:K117" si="8">H$112*(2300*0.5)</f>
        <v>0</v>
      </c>
      <c r="I117" s="44">
        <f t="shared" si="8"/>
        <v>57500</v>
      </c>
      <c r="J117" s="44">
        <f t="shared" si="8"/>
        <v>0</v>
      </c>
      <c r="K117" s="44">
        <f t="shared" si="8"/>
        <v>34500</v>
      </c>
      <c r="L117" s="45"/>
      <c r="M117" s="45"/>
      <c r="N117" s="45"/>
      <c r="O117" s="45"/>
      <c r="P117" s="45"/>
      <c r="Q117" s="36"/>
      <c r="R117" s="36"/>
      <c r="S117" s="36"/>
      <c r="T117" s="46">
        <f t="shared" ref="T117:T120" si="9">SUM(D117:P117)</f>
        <v>207000</v>
      </c>
      <c r="U117" s="47"/>
    </row>
    <row r="118" spans="2:21" ht="16">
      <c r="B118" s="36" t="s">
        <v>61</v>
      </c>
      <c r="C118" s="44"/>
      <c r="D118" s="44">
        <f t="shared" ref="D118:F118" si="10">D$112*(2300*0.25)</f>
        <v>0</v>
      </c>
      <c r="E118" s="44">
        <f t="shared" si="10"/>
        <v>57500</v>
      </c>
      <c r="F118" s="44">
        <f t="shared" si="10"/>
        <v>0</v>
      </c>
      <c r="G118" s="44"/>
      <c r="H118" s="44">
        <f t="shared" ref="H118:K118" si="11">H$112*(2300*0.25)</f>
        <v>0</v>
      </c>
      <c r="I118" s="44">
        <f t="shared" si="11"/>
        <v>28750</v>
      </c>
      <c r="J118" s="44">
        <f t="shared" si="11"/>
        <v>0</v>
      </c>
      <c r="K118" s="44">
        <f t="shared" si="11"/>
        <v>17250</v>
      </c>
      <c r="L118" s="45"/>
      <c r="M118" s="45"/>
      <c r="N118" s="45"/>
      <c r="O118" s="45"/>
      <c r="P118" s="45"/>
      <c r="Q118" s="36"/>
      <c r="R118" s="36"/>
      <c r="S118" s="36"/>
      <c r="T118" s="46">
        <f t="shared" si="9"/>
        <v>103500</v>
      </c>
      <c r="U118" s="48"/>
    </row>
    <row r="119" spans="2:21" ht="16">
      <c r="B119" s="36" t="s">
        <v>62</v>
      </c>
      <c r="C119" s="44"/>
      <c r="D119" s="44">
        <f t="shared" ref="D119:F119" si="12">D$113*(2300*0.25)</f>
        <v>0</v>
      </c>
      <c r="E119" s="44">
        <f t="shared" si="12"/>
        <v>0</v>
      </c>
      <c r="F119" s="44">
        <f t="shared" si="12"/>
        <v>20125</v>
      </c>
      <c r="G119" s="44"/>
      <c r="H119" s="44">
        <f t="shared" ref="H119:K119" si="13">H$113*(2300*0.25)</f>
        <v>8625</v>
      </c>
      <c r="I119" s="44">
        <f t="shared" si="13"/>
        <v>28750</v>
      </c>
      <c r="J119" s="44">
        <f t="shared" si="13"/>
        <v>0</v>
      </c>
      <c r="K119" s="44">
        <f t="shared" si="13"/>
        <v>0</v>
      </c>
      <c r="L119" s="45"/>
      <c r="M119" s="45"/>
      <c r="N119" s="45"/>
      <c r="O119" s="45"/>
      <c r="P119" s="45"/>
      <c r="Q119" s="36"/>
      <c r="R119" s="36"/>
      <c r="S119" s="36"/>
      <c r="T119" s="46">
        <f t="shared" si="9"/>
        <v>57500</v>
      </c>
      <c r="U119" s="49">
        <f t="shared" ref="U119:U120" si="14">SUM(T117:T119)</f>
        <v>368000</v>
      </c>
    </row>
    <row r="120" spans="2:21" ht="16">
      <c r="B120" s="36" t="s">
        <v>62</v>
      </c>
      <c r="C120" s="44"/>
      <c r="D120" s="44">
        <f t="shared" ref="D120:F120" si="15">D$113*(2300*0.25)</f>
        <v>0</v>
      </c>
      <c r="E120" s="44">
        <f t="shared" si="15"/>
        <v>0</v>
      </c>
      <c r="F120" s="44">
        <f t="shared" si="15"/>
        <v>20125</v>
      </c>
      <c r="G120" s="44"/>
      <c r="H120" s="44">
        <f t="shared" ref="H120:K120" si="16">H$113*(2300*0.25)</f>
        <v>8625</v>
      </c>
      <c r="I120" s="44">
        <f t="shared" si="16"/>
        <v>28750</v>
      </c>
      <c r="J120" s="44">
        <f t="shared" si="16"/>
        <v>0</v>
      </c>
      <c r="K120" s="44">
        <f t="shared" si="16"/>
        <v>0</v>
      </c>
      <c r="L120" s="45"/>
      <c r="M120" s="45"/>
      <c r="N120" s="45"/>
      <c r="O120" s="45"/>
      <c r="P120" s="45"/>
      <c r="Q120" s="36"/>
      <c r="R120" s="36"/>
      <c r="S120" s="36"/>
      <c r="T120" s="46">
        <f t="shared" si="9"/>
        <v>57500</v>
      </c>
      <c r="U120" s="49">
        <f t="shared" si="14"/>
        <v>218500</v>
      </c>
    </row>
    <row r="121" spans="2:21" ht="16">
      <c r="B121" s="36"/>
      <c r="C121" s="48"/>
      <c r="D121" s="48"/>
      <c r="E121" s="48"/>
      <c r="F121" s="48"/>
      <c r="G121" s="48"/>
      <c r="H121" s="48"/>
      <c r="I121" s="48"/>
      <c r="J121" s="48"/>
      <c r="K121" s="48"/>
      <c r="L121" s="45"/>
      <c r="M121" s="45"/>
      <c r="N121" s="45"/>
      <c r="O121" s="45"/>
      <c r="P121" s="45"/>
      <c r="Q121" s="48"/>
      <c r="R121" s="48"/>
      <c r="S121" s="48"/>
      <c r="T121" s="48"/>
      <c r="U121" s="48"/>
    </row>
    <row r="122" spans="2:21" ht="16">
      <c r="B122" s="36" t="s">
        <v>63</v>
      </c>
      <c r="C122" s="50"/>
      <c r="D122" s="50">
        <v>287500</v>
      </c>
      <c r="E122" s="50">
        <v>86250</v>
      </c>
      <c r="F122" s="50">
        <v>155250</v>
      </c>
      <c r="G122" s="50"/>
      <c r="H122" s="50"/>
      <c r="I122" s="50">
        <v>86250</v>
      </c>
      <c r="J122" s="50"/>
      <c r="K122" s="50"/>
      <c r="L122" s="45"/>
      <c r="M122" s="45"/>
      <c r="N122" s="45"/>
      <c r="O122" s="45"/>
      <c r="P122" s="45"/>
      <c r="Q122" s="36"/>
      <c r="R122" s="36"/>
      <c r="S122" s="36"/>
      <c r="T122" s="46">
        <f>SUM(D122:P122)</f>
        <v>615250</v>
      </c>
      <c r="U122" s="51">
        <f>T122-U119</f>
        <v>247250</v>
      </c>
    </row>
    <row r="123" spans="2:21" ht="16">
      <c r="B123" s="36"/>
      <c r="C123" s="48"/>
      <c r="D123" s="48"/>
      <c r="E123" s="48"/>
      <c r="F123" s="48"/>
      <c r="G123" s="48"/>
      <c r="H123" s="48"/>
      <c r="I123" s="48"/>
      <c r="J123" s="48"/>
      <c r="K123" s="48"/>
      <c r="L123" s="45"/>
      <c r="M123" s="45"/>
      <c r="N123" s="45"/>
      <c r="O123" s="45"/>
      <c r="P123" s="45"/>
      <c r="Q123" s="48"/>
      <c r="R123" s="48"/>
      <c r="S123" s="48"/>
      <c r="T123" s="48"/>
      <c r="U123" s="48"/>
    </row>
    <row r="124" spans="2:21" ht="16">
      <c r="B124" s="36" t="s">
        <v>64</v>
      </c>
      <c r="C124" s="52"/>
      <c r="D124" s="52">
        <f t="shared" ref="D124:F124" si="17">IF(D$113&gt;0,D$113*(2300*0.25),0)</f>
        <v>0</v>
      </c>
      <c r="E124" s="52">
        <f t="shared" si="17"/>
        <v>0</v>
      </c>
      <c r="F124" s="52">
        <f t="shared" si="17"/>
        <v>20125</v>
      </c>
      <c r="G124" s="52"/>
      <c r="H124" s="52">
        <f t="shared" ref="H124:K124" si="18">IF(H$113&gt;0,H$113*(2300*0.25),0)</f>
        <v>8625</v>
      </c>
      <c r="I124" s="52">
        <f t="shared" si="18"/>
        <v>28750</v>
      </c>
      <c r="J124" s="52">
        <f t="shared" si="18"/>
        <v>0</v>
      </c>
      <c r="K124" s="52">
        <f t="shared" si="18"/>
        <v>0</v>
      </c>
      <c r="L124" s="45"/>
      <c r="M124" s="45"/>
      <c r="N124" s="45"/>
      <c r="O124" s="45"/>
      <c r="P124" s="45"/>
      <c r="Q124" s="36"/>
      <c r="R124" s="36"/>
      <c r="S124" s="36"/>
      <c r="T124" s="46">
        <f t="shared" ref="T124:T126" si="19">SUM(D124:P124)</f>
        <v>57500</v>
      </c>
      <c r="U124" s="48"/>
    </row>
    <row r="125" spans="2:21" ht="16">
      <c r="B125" s="36" t="s">
        <v>65</v>
      </c>
      <c r="C125" s="52"/>
      <c r="D125" s="52">
        <f t="shared" ref="D125:F125" si="20">IF(D$113&gt;0,D$113*(2300*0.5),0)</f>
        <v>0</v>
      </c>
      <c r="E125" s="52">
        <f t="shared" si="20"/>
        <v>0</v>
      </c>
      <c r="F125" s="52">
        <f t="shared" si="20"/>
        <v>40250</v>
      </c>
      <c r="G125" s="52"/>
      <c r="H125" s="52">
        <f t="shared" ref="H125:K125" si="21">IF(H$113&gt;0,H$113*(2300*0.5),0)</f>
        <v>17250</v>
      </c>
      <c r="I125" s="52">
        <f t="shared" si="21"/>
        <v>57500</v>
      </c>
      <c r="J125" s="52">
        <f t="shared" si="21"/>
        <v>0</v>
      </c>
      <c r="K125" s="52">
        <f t="shared" si="21"/>
        <v>0</v>
      </c>
      <c r="L125" s="45"/>
      <c r="M125" s="45"/>
      <c r="N125" s="45"/>
      <c r="O125" s="45"/>
      <c r="P125" s="45"/>
      <c r="Q125" s="36"/>
      <c r="R125" s="36"/>
      <c r="S125" s="36"/>
      <c r="T125" s="46">
        <f t="shared" si="19"/>
        <v>115000</v>
      </c>
      <c r="U125" s="47"/>
    </row>
    <row r="126" spans="2:21" ht="16">
      <c r="B126" s="36" t="s">
        <v>62</v>
      </c>
      <c r="C126" s="52"/>
      <c r="D126" s="52">
        <f t="shared" ref="D126:F126" si="22">IF(D$113&gt;0,D$113*(2300*0.25),0)</f>
        <v>0</v>
      </c>
      <c r="E126" s="52">
        <f t="shared" si="22"/>
        <v>0</v>
      </c>
      <c r="F126" s="52">
        <f t="shared" si="22"/>
        <v>20125</v>
      </c>
      <c r="G126" s="52"/>
      <c r="H126" s="52">
        <f t="shared" ref="H126:K126" si="23">IF(H$113&gt;0,H$113*(2300*0.25),0)</f>
        <v>8625</v>
      </c>
      <c r="I126" s="52">
        <f t="shared" si="23"/>
        <v>28750</v>
      </c>
      <c r="J126" s="52">
        <f t="shared" si="23"/>
        <v>0</v>
      </c>
      <c r="K126" s="52">
        <f t="shared" si="23"/>
        <v>0</v>
      </c>
      <c r="L126" s="45"/>
      <c r="M126" s="45"/>
      <c r="N126" s="45"/>
      <c r="O126" s="45"/>
      <c r="P126" s="45"/>
      <c r="Q126" s="36"/>
      <c r="R126" s="36"/>
      <c r="S126" s="36"/>
      <c r="T126" s="46">
        <f t="shared" si="19"/>
        <v>57500</v>
      </c>
      <c r="U126" s="49">
        <f>SUM(T124:T126)</f>
        <v>230000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1019"/>
  <sheetViews>
    <sheetView workbookViewId="0"/>
  </sheetViews>
  <sheetFormatPr baseColWidth="10" defaultColWidth="12.6640625" defaultRowHeight="15.75" customHeight="1"/>
  <cols>
    <col min="1" max="1" width="11.83203125" customWidth="1"/>
    <col min="2" max="2" width="11.5" customWidth="1"/>
    <col min="3" max="3" width="30.6640625" customWidth="1"/>
    <col min="4" max="4" width="10.1640625" customWidth="1"/>
    <col min="5" max="5" width="14.6640625" customWidth="1"/>
    <col min="9" max="9" width="14.33203125" customWidth="1"/>
    <col min="11" max="11" width="12" customWidth="1"/>
    <col min="12" max="12" width="14.1640625" customWidth="1"/>
    <col min="13" max="13" width="12.6640625" customWidth="1"/>
    <col min="14" max="14" width="11.33203125" customWidth="1"/>
    <col min="15" max="15" width="13.33203125" customWidth="1"/>
    <col min="16" max="16" width="48.6640625" customWidth="1"/>
  </cols>
  <sheetData>
    <row r="1" spans="1:19" ht="15.75" customHeight="1">
      <c r="P1" s="53"/>
    </row>
    <row r="2" spans="1:19" ht="15.75" customHeight="1">
      <c r="E2" s="6">
        <f>D7*10*0.75</f>
        <v>16125</v>
      </c>
      <c r="P2" s="53"/>
    </row>
    <row r="3" spans="1:19" ht="15.75" customHeight="1">
      <c r="P3" s="53"/>
    </row>
    <row r="4" spans="1:19" ht="15.75" customHeight="1">
      <c r="P4" s="53"/>
    </row>
    <row r="5" spans="1:19" ht="15.75" customHeight="1">
      <c r="P5" s="53"/>
    </row>
    <row r="6" spans="1:19" ht="15.75" customHeight="1">
      <c r="A6" s="1" t="s">
        <v>0</v>
      </c>
      <c r="B6" s="1" t="s">
        <v>1</v>
      </c>
      <c r="C6" s="1" t="s">
        <v>2</v>
      </c>
      <c r="D6" s="1" t="s">
        <v>3</v>
      </c>
      <c r="E6" s="1" t="s">
        <v>4</v>
      </c>
      <c r="P6" s="53"/>
    </row>
    <row r="7" spans="1:19" ht="15.75" customHeight="1">
      <c r="A7" s="3">
        <v>45200</v>
      </c>
      <c r="B7" s="4"/>
      <c r="C7" s="4">
        <v>500</v>
      </c>
      <c r="D7" s="5">
        <v>2150</v>
      </c>
      <c r="E7" s="5">
        <f>D7*C7</f>
        <v>1075000</v>
      </c>
      <c r="N7" s="2">
        <f>220*2300</f>
        <v>506000</v>
      </c>
      <c r="P7" s="53"/>
    </row>
    <row r="8" spans="1:19" ht="15.75" customHeight="1">
      <c r="P8" s="53"/>
    </row>
    <row r="9" spans="1:19" ht="15.75" customHeight="1">
      <c r="A9" s="8" t="s">
        <v>8</v>
      </c>
      <c r="B9" s="9"/>
      <c r="C9" s="9"/>
      <c r="D9" s="10"/>
      <c r="E9" s="11">
        <v>500</v>
      </c>
      <c r="H9" s="8" t="s">
        <v>9</v>
      </c>
      <c r="I9" s="9"/>
      <c r="J9" s="10"/>
      <c r="K9" s="12"/>
      <c r="L9" s="11">
        <f>L14</f>
        <v>500</v>
      </c>
      <c r="N9" s="2" t="s">
        <v>66</v>
      </c>
      <c r="O9" s="2" t="s">
        <v>67</v>
      </c>
      <c r="P9" s="53"/>
    </row>
    <row r="10" spans="1:19" ht="15.75" customHeight="1">
      <c r="A10" s="8" t="s">
        <v>68</v>
      </c>
      <c r="B10" s="9"/>
      <c r="C10" s="9"/>
      <c r="D10" s="10"/>
      <c r="E10" s="11">
        <f>E9-L9</f>
        <v>0</v>
      </c>
      <c r="H10" s="8" t="s">
        <v>69</v>
      </c>
      <c r="I10" s="9"/>
      <c r="J10" s="10"/>
      <c r="K10" s="12"/>
      <c r="L10" s="11">
        <f>M14</f>
        <v>0</v>
      </c>
      <c r="N10" s="2" t="e">
        <f>#REF!*2300*0.5</f>
        <v>#REF!</v>
      </c>
      <c r="O10" s="2" t="e">
        <f>#REF!*2300*0.25</f>
        <v>#REF!</v>
      </c>
      <c r="P10" s="53"/>
      <c r="Q10" s="2" t="e">
        <f>O10</f>
        <v>#REF!</v>
      </c>
    </row>
    <row r="11" spans="1:19" ht="15.75" customHeight="1">
      <c r="A11" s="8" t="s">
        <v>70</v>
      </c>
      <c r="B11" s="9"/>
      <c r="C11" s="9"/>
      <c r="D11" s="10"/>
      <c r="E11" s="14"/>
      <c r="P11" s="53"/>
    </row>
    <row r="12" spans="1:19" ht="15.75" customHeight="1">
      <c r="A12" s="8" t="s">
        <v>15</v>
      </c>
      <c r="B12" s="9"/>
      <c r="C12" s="9"/>
      <c r="D12" s="15">
        <f>E12/E7</f>
        <v>1.0013720930232559</v>
      </c>
      <c r="E12" s="14">
        <f>SUM(J17:J78)</f>
        <v>1076475</v>
      </c>
      <c r="P12" s="53"/>
    </row>
    <row r="13" spans="1:19" ht="15.75" customHeight="1">
      <c r="A13" s="8" t="s">
        <v>16</v>
      </c>
      <c r="B13" s="9"/>
      <c r="C13" s="9"/>
      <c r="D13" s="9"/>
      <c r="E13" s="14">
        <f>E7-E12</f>
        <v>-1475</v>
      </c>
      <c r="P13" s="53"/>
      <c r="S13" s="2">
        <f>320-45</f>
        <v>275</v>
      </c>
    </row>
    <row r="14" spans="1:19" ht="15.75" customHeight="1">
      <c r="L14" s="54">
        <f>SUM(L17:L55)</f>
        <v>500</v>
      </c>
      <c r="M14" s="55">
        <f>SUM(M17:M60)</f>
        <v>0</v>
      </c>
      <c r="N14" s="30">
        <f>E9-L14-M14</f>
        <v>0</v>
      </c>
      <c r="O14" s="2">
        <f>SUM(N17:N55)</f>
        <v>180</v>
      </c>
      <c r="P14" s="2" t="s">
        <v>71</v>
      </c>
    </row>
    <row r="15" spans="1:19" ht="15.75" customHeight="1">
      <c r="O15" s="2">
        <f>N14-O14</f>
        <v>-180</v>
      </c>
      <c r="P15" s="2" t="s">
        <v>72</v>
      </c>
    </row>
    <row r="16" spans="1:19" ht="15.75" customHeight="1">
      <c r="A16" s="16" t="s">
        <v>17</v>
      </c>
      <c r="B16" s="16" t="s">
        <v>18</v>
      </c>
      <c r="C16" s="16" t="s">
        <v>20</v>
      </c>
      <c r="D16" s="16" t="s">
        <v>21</v>
      </c>
      <c r="E16" s="16" t="s">
        <v>8</v>
      </c>
      <c r="F16" s="17" t="s">
        <v>22</v>
      </c>
      <c r="G16" s="16" t="s">
        <v>23</v>
      </c>
      <c r="H16" s="16" t="s">
        <v>24</v>
      </c>
      <c r="I16" s="16" t="s">
        <v>25</v>
      </c>
      <c r="J16" s="16" t="s">
        <v>26</v>
      </c>
      <c r="K16" s="17" t="s">
        <v>73</v>
      </c>
      <c r="L16" s="16" t="s">
        <v>74</v>
      </c>
      <c r="M16" s="17" t="s">
        <v>75</v>
      </c>
      <c r="N16" s="16" t="s">
        <v>76</v>
      </c>
    </row>
    <row r="17" spans="1:38" ht="15.75" customHeight="1">
      <c r="A17" s="22">
        <v>156540</v>
      </c>
      <c r="B17" s="56">
        <v>45198</v>
      </c>
      <c r="C17" s="22" t="s">
        <v>77</v>
      </c>
      <c r="D17" s="22">
        <v>500</v>
      </c>
      <c r="E17" s="22"/>
      <c r="F17" s="22"/>
      <c r="G17" s="23">
        <f>D7*0.25</f>
        <v>537.5</v>
      </c>
      <c r="H17" s="29">
        <f>D17*G17</f>
        <v>268750</v>
      </c>
      <c r="I17" s="22" t="s">
        <v>28</v>
      </c>
      <c r="J17" s="21">
        <f>H17</f>
        <v>268750</v>
      </c>
      <c r="K17" s="22"/>
      <c r="L17" s="22"/>
      <c r="M17" s="22"/>
      <c r="N17" s="22"/>
      <c r="O17" s="22"/>
      <c r="P17" s="57"/>
      <c r="Q17" s="22"/>
      <c r="R17" s="22"/>
      <c r="S17" s="22"/>
      <c r="T17" s="22"/>
      <c r="U17" s="22"/>
      <c r="V17" s="22"/>
      <c r="W17" s="22"/>
      <c r="X17" s="22"/>
      <c r="Y17" s="22"/>
      <c r="Z17" s="22"/>
      <c r="AA17" s="22"/>
      <c r="AB17" s="22"/>
      <c r="AC17" s="22"/>
      <c r="AD17" s="22"/>
      <c r="AE17" s="22"/>
      <c r="AF17" s="22"/>
      <c r="AG17" s="22"/>
      <c r="AH17" s="22"/>
      <c r="AI17" s="22"/>
      <c r="AJ17" s="22"/>
      <c r="AK17" s="22"/>
      <c r="AL17" s="22"/>
    </row>
    <row r="18" spans="1:38" ht="15.75" customHeight="1">
      <c r="A18" s="18"/>
      <c r="B18" s="18"/>
      <c r="C18" s="18" t="s">
        <v>78</v>
      </c>
      <c r="D18" s="18">
        <v>100</v>
      </c>
      <c r="E18" s="18">
        <f>D18</f>
        <v>100</v>
      </c>
      <c r="F18" s="18"/>
      <c r="G18" s="58"/>
      <c r="H18" s="20">
        <f>SUM(H19:H22)</f>
        <v>161250</v>
      </c>
      <c r="I18" s="18"/>
      <c r="J18" s="18"/>
      <c r="M18" s="22"/>
      <c r="O18" s="59" t="s">
        <v>79</v>
      </c>
      <c r="P18" s="57"/>
      <c r="Q18" s="22"/>
      <c r="R18" s="22"/>
      <c r="S18" s="22"/>
      <c r="T18" s="22"/>
      <c r="U18" s="22"/>
      <c r="V18" s="22"/>
      <c r="W18" s="22"/>
      <c r="X18" s="22"/>
      <c r="Y18" s="22"/>
      <c r="Z18" s="22"/>
      <c r="AA18" s="22"/>
      <c r="AB18" s="22"/>
      <c r="AC18" s="22"/>
      <c r="AD18" s="22"/>
      <c r="AE18" s="22"/>
      <c r="AF18" s="22"/>
      <c r="AG18" s="22"/>
      <c r="AH18" s="22"/>
      <c r="AI18" s="22"/>
      <c r="AJ18" s="22"/>
      <c r="AK18" s="22"/>
      <c r="AL18" s="22"/>
    </row>
    <row r="19" spans="1:38" ht="15.75" customHeight="1">
      <c r="A19" s="2"/>
      <c r="B19" s="2"/>
      <c r="C19" s="2" t="s">
        <v>80</v>
      </c>
      <c r="D19" s="2">
        <f>D18</f>
        <v>100</v>
      </c>
      <c r="E19" s="6"/>
      <c r="F19" s="6"/>
      <c r="G19" s="23">
        <v>1075</v>
      </c>
      <c r="H19" s="6">
        <f t="shared" ref="H19:H22" si="0">D19*G19</f>
        <v>107500</v>
      </c>
      <c r="I19" s="22" t="s">
        <v>28</v>
      </c>
      <c r="J19" s="21">
        <f t="shared" ref="J19:J20" si="1">H19</f>
        <v>107500</v>
      </c>
      <c r="O19" s="22" t="s">
        <v>81</v>
      </c>
      <c r="P19" s="53"/>
    </row>
    <row r="20" spans="1:38" ht="15.75" customHeight="1">
      <c r="A20" s="2"/>
      <c r="B20" s="2"/>
      <c r="C20" s="2" t="s">
        <v>31</v>
      </c>
      <c r="D20" s="2">
        <v>35</v>
      </c>
      <c r="E20" s="6"/>
      <c r="F20" s="6"/>
      <c r="G20" s="23">
        <f>D7*0.25</f>
        <v>537.5</v>
      </c>
      <c r="H20" s="6">
        <f t="shared" si="0"/>
        <v>18812.5</v>
      </c>
      <c r="I20" s="22" t="s">
        <v>28</v>
      </c>
      <c r="J20" s="21">
        <f t="shared" si="1"/>
        <v>18812.5</v>
      </c>
      <c r="K20" s="7">
        <v>45278</v>
      </c>
      <c r="L20" s="2">
        <f t="shared" ref="L20:L22" si="2">D20</f>
        <v>35</v>
      </c>
    </row>
    <row r="21" spans="1:38" ht="15.75" customHeight="1">
      <c r="A21" s="2"/>
      <c r="B21" s="2"/>
      <c r="C21" s="2" t="s">
        <v>31</v>
      </c>
      <c r="D21" s="2">
        <v>15</v>
      </c>
      <c r="E21" s="6"/>
      <c r="F21" s="6"/>
      <c r="G21" s="23">
        <f>D7*0.25</f>
        <v>537.5</v>
      </c>
      <c r="H21" s="6">
        <f t="shared" si="0"/>
        <v>8062.5</v>
      </c>
      <c r="I21" s="22" t="s">
        <v>28</v>
      </c>
      <c r="J21" s="21">
        <v>8062.5</v>
      </c>
      <c r="K21" s="60">
        <v>45295</v>
      </c>
      <c r="L21" s="2">
        <f t="shared" si="2"/>
        <v>15</v>
      </c>
    </row>
    <row r="22" spans="1:38" ht="15.75" customHeight="1">
      <c r="A22" s="2"/>
      <c r="B22" s="2"/>
      <c r="C22" s="2" t="s">
        <v>31</v>
      </c>
      <c r="D22" s="2">
        <f>D19-D20-D21</f>
        <v>50</v>
      </c>
      <c r="E22" s="6"/>
      <c r="F22" s="6"/>
      <c r="G22" s="23">
        <f>D7*0.25</f>
        <v>537.5</v>
      </c>
      <c r="H22" s="6">
        <f t="shared" si="0"/>
        <v>26875</v>
      </c>
      <c r="I22" s="22" t="s">
        <v>28</v>
      </c>
      <c r="J22" s="21">
        <v>26875</v>
      </c>
      <c r="K22" s="60">
        <v>45314</v>
      </c>
      <c r="L22" s="2">
        <f t="shared" si="2"/>
        <v>50</v>
      </c>
      <c r="O22" s="61">
        <v>45485</v>
      </c>
      <c r="P22" s="62" t="s">
        <v>82</v>
      </c>
      <c r="Q22" s="63" t="s">
        <v>83</v>
      </c>
    </row>
    <row r="23" spans="1:38" ht="15.75" customHeight="1">
      <c r="A23" s="18"/>
      <c r="B23" s="18"/>
      <c r="C23" s="18" t="s">
        <v>84</v>
      </c>
      <c r="D23" s="18">
        <v>50</v>
      </c>
      <c r="E23" s="18">
        <f>D23</f>
        <v>50</v>
      </c>
      <c r="F23" s="18"/>
      <c r="G23" s="58"/>
      <c r="H23" s="20">
        <f>SUM(H24:H25)</f>
        <v>67187.5</v>
      </c>
      <c r="I23" s="18"/>
      <c r="J23" s="18"/>
      <c r="K23" s="22"/>
      <c r="M23" s="22"/>
      <c r="N23" s="22"/>
      <c r="O23" s="61">
        <v>45488</v>
      </c>
      <c r="P23" s="62" t="s">
        <v>85</v>
      </c>
      <c r="Q23" s="63">
        <f>2150*0.25*30</f>
        <v>16125</v>
      </c>
      <c r="R23" s="22"/>
      <c r="S23" s="22"/>
      <c r="T23" s="22"/>
      <c r="U23" s="22"/>
      <c r="V23" s="22"/>
      <c r="W23" s="22"/>
      <c r="X23" s="22"/>
      <c r="Y23" s="22"/>
      <c r="Z23" s="22"/>
      <c r="AA23" s="22"/>
      <c r="AB23" s="22"/>
      <c r="AC23" s="22"/>
      <c r="AD23" s="22"/>
      <c r="AE23" s="22"/>
      <c r="AF23" s="22"/>
      <c r="AG23" s="22"/>
      <c r="AH23" s="22"/>
      <c r="AI23" s="22"/>
      <c r="AJ23" s="22"/>
      <c r="AK23" s="22"/>
      <c r="AL23" s="22"/>
    </row>
    <row r="24" spans="1:38" ht="15.75" customHeight="1">
      <c r="A24" s="2"/>
      <c r="B24" s="2"/>
      <c r="C24" s="2" t="s">
        <v>80</v>
      </c>
      <c r="D24" s="2">
        <f>D23</f>
        <v>50</v>
      </c>
      <c r="E24" s="6"/>
      <c r="F24" s="6"/>
      <c r="G24" s="23">
        <f>2150*0.5</f>
        <v>1075</v>
      </c>
      <c r="H24" s="6">
        <f t="shared" ref="H24:H26" si="3">D24*G24</f>
        <v>53750</v>
      </c>
      <c r="I24" s="22" t="s">
        <v>28</v>
      </c>
      <c r="J24" s="21">
        <f t="shared" ref="J24:J26" si="4">H24</f>
        <v>53750</v>
      </c>
      <c r="K24" s="7">
        <v>45281</v>
      </c>
      <c r="O24" s="64" t="s">
        <v>86</v>
      </c>
      <c r="P24" s="65" t="s">
        <v>87</v>
      </c>
      <c r="Q24" s="66" t="s">
        <v>88</v>
      </c>
    </row>
    <row r="25" spans="1:38" ht="15.75" customHeight="1">
      <c r="A25" s="2"/>
      <c r="B25" s="2"/>
      <c r="C25" s="2" t="s">
        <v>31</v>
      </c>
      <c r="D25" s="2">
        <v>25</v>
      </c>
      <c r="E25" s="31">
        <v>25</v>
      </c>
      <c r="F25" s="6"/>
      <c r="G25" s="23">
        <f>D7*0.25</f>
        <v>537.5</v>
      </c>
      <c r="H25" s="6">
        <f t="shared" si="3"/>
        <v>13437.5</v>
      </c>
      <c r="I25" s="22" t="s">
        <v>28</v>
      </c>
      <c r="J25" s="21">
        <f t="shared" si="4"/>
        <v>13437.5</v>
      </c>
      <c r="K25" s="60">
        <v>45434</v>
      </c>
      <c r="L25" s="2">
        <v>25</v>
      </c>
      <c r="O25" s="67" t="s">
        <v>86</v>
      </c>
      <c r="P25" s="68" t="s">
        <v>89</v>
      </c>
      <c r="Q25" s="69" t="s">
        <v>88</v>
      </c>
    </row>
    <row r="26" spans="1:38" ht="15.75" customHeight="1">
      <c r="A26" s="2"/>
      <c r="B26" s="2"/>
      <c r="C26" s="2" t="s">
        <v>31</v>
      </c>
      <c r="D26" s="2">
        <v>25</v>
      </c>
      <c r="E26" s="31">
        <v>25</v>
      </c>
      <c r="F26" s="6"/>
      <c r="G26" s="23">
        <f>G25</f>
        <v>537.5</v>
      </c>
      <c r="H26" s="6">
        <f t="shared" si="3"/>
        <v>13437.5</v>
      </c>
      <c r="I26" s="22" t="s">
        <v>28</v>
      </c>
      <c r="J26" s="21">
        <f t="shared" si="4"/>
        <v>13437.5</v>
      </c>
      <c r="K26" s="60">
        <v>45485</v>
      </c>
      <c r="L26" s="2">
        <v>25</v>
      </c>
      <c r="O26" s="70" t="s">
        <v>86</v>
      </c>
      <c r="P26" s="71" t="s">
        <v>90</v>
      </c>
      <c r="Q26" s="72" t="s">
        <v>88</v>
      </c>
    </row>
    <row r="27" spans="1:38" ht="15.75" customHeight="1">
      <c r="A27" s="18"/>
      <c r="B27" s="18"/>
      <c r="C27" s="18" t="s">
        <v>91</v>
      </c>
      <c r="D27" s="18">
        <v>30</v>
      </c>
      <c r="E27" s="18">
        <f>D27</f>
        <v>30</v>
      </c>
      <c r="F27" s="18"/>
      <c r="G27" s="58"/>
      <c r="H27" s="20">
        <f>SUM(H28:H29)</f>
        <v>48375</v>
      </c>
      <c r="I27" s="18"/>
      <c r="J27" s="18"/>
      <c r="K27" s="22"/>
      <c r="O27" s="11" t="s">
        <v>92</v>
      </c>
      <c r="P27" s="62" t="s">
        <v>93</v>
      </c>
      <c r="Q27" s="63">
        <f t="shared" ref="Q27:Q28" si="5">2150*0.25*35</f>
        <v>18812.5</v>
      </c>
      <c r="S27" s="22" t="s">
        <v>94</v>
      </c>
      <c r="T27" s="22"/>
      <c r="U27" s="22"/>
      <c r="V27" s="22"/>
      <c r="W27" s="22"/>
      <c r="X27" s="22"/>
      <c r="Y27" s="22"/>
      <c r="Z27" s="22"/>
      <c r="AA27" s="22"/>
      <c r="AB27" s="22"/>
      <c r="AC27" s="22"/>
      <c r="AD27" s="22"/>
      <c r="AE27" s="22"/>
      <c r="AF27" s="22"/>
      <c r="AG27" s="22"/>
      <c r="AH27" s="22"/>
      <c r="AI27" s="22"/>
      <c r="AJ27" s="22"/>
      <c r="AK27" s="22"/>
      <c r="AL27" s="22"/>
    </row>
    <row r="28" spans="1:38" ht="15.75" customHeight="1">
      <c r="A28" s="2"/>
      <c r="B28" s="2"/>
      <c r="C28" s="2" t="s">
        <v>80</v>
      </c>
      <c r="D28" s="2">
        <f>D27</f>
        <v>30</v>
      </c>
      <c r="E28" s="6"/>
      <c r="F28" s="6"/>
      <c r="G28" s="23">
        <f>2150*0.5</f>
        <v>1075</v>
      </c>
      <c r="H28" s="6">
        <f t="shared" ref="H28:H29" si="6">D28*G28</f>
        <v>32250</v>
      </c>
      <c r="I28" s="22" t="s">
        <v>28</v>
      </c>
      <c r="J28" s="21">
        <f>H28</f>
        <v>32250</v>
      </c>
      <c r="K28" s="7">
        <v>45371</v>
      </c>
      <c r="M28" s="6">
        <f>E28</f>
        <v>0</v>
      </c>
      <c r="O28" s="11" t="s">
        <v>95</v>
      </c>
      <c r="P28" s="62" t="s">
        <v>93</v>
      </c>
      <c r="Q28" s="63">
        <f t="shared" si="5"/>
        <v>18812.5</v>
      </c>
    </row>
    <row r="29" spans="1:38" ht="15.75" customHeight="1">
      <c r="A29" s="2"/>
      <c r="B29" s="2"/>
      <c r="C29" s="2" t="s">
        <v>31</v>
      </c>
      <c r="D29" s="2">
        <v>30</v>
      </c>
      <c r="E29" s="31">
        <v>30</v>
      </c>
      <c r="F29" s="6"/>
      <c r="G29" s="23">
        <f>G26</f>
        <v>537.5</v>
      </c>
      <c r="H29" s="6">
        <f t="shared" si="6"/>
        <v>16125</v>
      </c>
      <c r="I29" s="22" t="s">
        <v>28</v>
      </c>
      <c r="J29" s="21">
        <v>16125</v>
      </c>
      <c r="K29" s="7">
        <v>45488</v>
      </c>
      <c r="L29" s="2">
        <v>30</v>
      </c>
      <c r="O29" s="70" t="s">
        <v>96</v>
      </c>
      <c r="P29" s="71" t="s">
        <v>97</v>
      </c>
      <c r="Q29" s="72" t="s">
        <v>88</v>
      </c>
    </row>
    <row r="30" spans="1:38" ht="15.75" customHeight="1">
      <c r="A30" s="18"/>
      <c r="B30" s="18"/>
      <c r="C30" s="18" t="s">
        <v>98</v>
      </c>
      <c r="D30" s="18">
        <v>70</v>
      </c>
      <c r="E30" s="18">
        <v>70</v>
      </c>
      <c r="F30" s="18"/>
      <c r="G30" s="58"/>
      <c r="H30" s="20">
        <f>SUM(H31:H34)</f>
        <v>116725</v>
      </c>
      <c r="I30" s="18"/>
      <c r="J30" s="18"/>
      <c r="K30" s="22"/>
      <c r="L30" s="22"/>
      <c r="O30" s="22"/>
      <c r="P30" s="57"/>
      <c r="Q30" s="22"/>
      <c r="R30" s="22"/>
      <c r="S30" s="22"/>
      <c r="T30" s="22"/>
      <c r="U30" s="22"/>
      <c r="V30" s="22"/>
      <c r="W30" s="22"/>
      <c r="X30" s="22"/>
      <c r="Y30" s="22"/>
      <c r="Z30" s="22"/>
      <c r="AA30" s="22"/>
      <c r="AB30" s="22"/>
      <c r="AC30" s="22"/>
      <c r="AD30" s="22"/>
      <c r="AE30" s="22"/>
      <c r="AF30" s="22"/>
      <c r="AG30" s="22"/>
      <c r="AH30" s="22"/>
      <c r="AI30" s="22"/>
      <c r="AJ30" s="22"/>
      <c r="AK30" s="22"/>
      <c r="AL30" s="22"/>
    </row>
    <row r="31" spans="1:38" ht="15.75" customHeight="1">
      <c r="A31" s="2"/>
      <c r="B31" s="2"/>
      <c r="C31" s="2" t="s">
        <v>99</v>
      </c>
      <c r="D31" s="2">
        <v>70</v>
      </c>
      <c r="E31" s="6"/>
      <c r="F31" s="73"/>
      <c r="G31" s="23">
        <f>G28+55</f>
        <v>1130</v>
      </c>
      <c r="H31" s="6">
        <f t="shared" ref="H31:H35" si="7">D31*G31</f>
        <v>79100</v>
      </c>
      <c r="I31" s="22" t="s">
        <v>28</v>
      </c>
      <c r="J31" s="21">
        <f>H31</f>
        <v>79100</v>
      </c>
      <c r="M31" s="6">
        <f>E31</f>
        <v>0</v>
      </c>
      <c r="P31" s="53"/>
    </row>
    <row r="32" spans="1:38" ht="15.75" customHeight="1">
      <c r="A32" s="2"/>
      <c r="B32" s="2"/>
      <c r="C32" s="2" t="s">
        <v>31</v>
      </c>
      <c r="D32" s="2">
        <v>30</v>
      </c>
      <c r="E32" s="2">
        <v>30</v>
      </c>
      <c r="F32" s="2" t="s">
        <v>32</v>
      </c>
      <c r="G32" s="23">
        <f>D7*0.25</f>
        <v>537.5</v>
      </c>
      <c r="H32" s="6">
        <f t="shared" si="7"/>
        <v>16125</v>
      </c>
      <c r="I32" s="22" t="s">
        <v>28</v>
      </c>
      <c r="J32" s="21">
        <v>16125</v>
      </c>
      <c r="K32" s="74">
        <v>45532</v>
      </c>
      <c r="L32" s="2">
        <v>30</v>
      </c>
      <c r="O32" s="22" t="s">
        <v>100</v>
      </c>
      <c r="P32" s="57"/>
      <c r="Q32" s="22"/>
    </row>
    <row r="33" spans="1:38" ht="15.75" customHeight="1">
      <c r="A33" s="2"/>
      <c r="B33" s="2"/>
      <c r="C33" s="2" t="s">
        <v>31</v>
      </c>
      <c r="D33" s="2">
        <v>15</v>
      </c>
      <c r="E33" s="2">
        <v>15</v>
      </c>
      <c r="F33" s="2" t="s">
        <v>34</v>
      </c>
      <c r="G33" s="23">
        <f t="shared" ref="G33:G34" si="8">G32</f>
        <v>537.5</v>
      </c>
      <c r="H33" s="6">
        <f t="shared" si="7"/>
        <v>8062.5</v>
      </c>
      <c r="I33" s="22" t="s">
        <v>28</v>
      </c>
      <c r="J33" s="21">
        <v>8062.5</v>
      </c>
      <c r="K33" s="74">
        <v>45534</v>
      </c>
      <c r="L33" s="2">
        <v>15</v>
      </c>
      <c r="O33" s="75" t="s">
        <v>101</v>
      </c>
      <c r="P33" s="53"/>
    </row>
    <row r="34" spans="1:38" ht="15.75" customHeight="1">
      <c r="A34" s="2"/>
      <c r="B34" s="2"/>
      <c r="C34" s="2" t="s">
        <v>31</v>
      </c>
      <c r="D34" s="2">
        <v>25</v>
      </c>
      <c r="E34" s="2">
        <v>25</v>
      </c>
      <c r="F34" s="2" t="s">
        <v>32</v>
      </c>
      <c r="G34" s="23">
        <f t="shared" si="8"/>
        <v>537.5</v>
      </c>
      <c r="H34" s="6">
        <f t="shared" si="7"/>
        <v>13437.5</v>
      </c>
      <c r="I34" s="22" t="s">
        <v>28</v>
      </c>
      <c r="J34" s="21">
        <v>13437.5</v>
      </c>
      <c r="K34" s="74">
        <v>45560</v>
      </c>
      <c r="L34" s="2">
        <v>25</v>
      </c>
      <c r="O34" s="2"/>
      <c r="R34" s="22"/>
      <c r="S34" s="22"/>
      <c r="T34" s="22"/>
      <c r="U34" s="22"/>
      <c r="V34" s="22"/>
      <c r="W34" s="22"/>
      <c r="X34" s="22"/>
      <c r="Y34" s="22"/>
      <c r="Z34" s="22"/>
      <c r="AA34" s="22"/>
      <c r="AB34" s="22"/>
      <c r="AC34" s="22"/>
      <c r="AD34" s="22"/>
      <c r="AE34" s="22"/>
      <c r="AF34" s="22"/>
      <c r="AG34" s="22"/>
      <c r="AH34" s="22"/>
      <c r="AI34" s="22"/>
      <c r="AJ34" s="22"/>
      <c r="AK34" s="22"/>
      <c r="AL34" s="22"/>
    </row>
    <row r="35" spans="1:38" ht="15.75" customHeight="1">
      <c r="A35" s="22"/>
      <c r="B35" s="56"/>
      <c r="C35" s="22" t="s">
        <v>77</v>
      </c>
      <c r="D35" s="22">
        <v>250</v>
      </c>
      <c r="E35" s="22"/>
      <c r="F35" s="22"/>
      <c r="G35" s="23">
        <f>$D$7*0.25</f>
        <v>537.5</v>
      </c>
      <c r="H35" s="29">
        <f t="shared" si="7"/>
        <v>134375</v>
      </c>
      <c r="I35" s="22" t="s">
        <v>28</v>
      </c>
      <c r="J35" s="21">
        <f>H35</f>
        <v>134375</v>
      </c>
      <c r="K35" s="22"/>
      <c r="L35" s="22"/>
      <c r="M35" s="22"/>
      <c r="N35" s="22"/>
      <c r="O35" s="22"/>
      <c r="P35" s="57"/>
      <c r="Q35" s="22"/>
      <c r="R35" s="22"/>
      <c r="S35" s="22"/>
      <c r="T35" s="22"/>
      <c r="U35" s="22"/>
      <c r="V35" s="22"/>
      <c r="W35" s="22"/>
      <c r="X35" s="22"/>
      <c r="Y35" s="22"/>
      <c r="Z35" s="22"/>
      <c r="AA35" s="22"/>
      <c r="AB35" s="22"/>
      <c r="AC35" s="22"/>
      <c r="AD35" s="22"/>
      <c r="AE35" s="22"/>
      <c r="AF35" s="22"/>
      <c r="AG35" s="22"/>
      <c r="AH35" s="22"/>
      <c r="AI35" s="22"/>
      <c r="AJ35" s="22"/>
      <c r="AK35" s="22"/>
      <c r="AL35" s="22"/>
    </row>
    <row r="36" spans="1:38" ht="15.75" customHeight="1">
      <c r="A36" s="18"/>
      <c r="B36" s="18"/>
      <c r="C36" s="76" t="s">
        <v>102</v>
      </c>
      <c r="D36" s="76">
        <v>70</v>
      </c>
      <c r="E36" s="76">
        <v>70</v>
      </c>
      <c r="F36" s="18"/>
      <c r="G36" s="58"/>
      <c r="H36" s="20">
        <f>SUM(H37:H38)</f>
        <v>52225</v>
      </c>
      <c r="I36" s="18"/>
      <c r="J36" s="18"/>
      <c r="K36" s="77"/>
      <c r="L36" s="18"/>
      <c r="O36" s="2" t="s">
        <v>103</v>
      </c>
      <c r="Q36" s="6">
        <f>G37</f>
        <v>592.5</v>
      </c>
      <c r="R36" s="22"/>
      <c r="S36" s="22"/>
      <c r="T36" s="22"/>
      <c r="U36" s="22"/>
      <c r="V36" s="22"/>
      <c r="W36" s="22"/>
      <c r="X36" s="22"/>
      <c r="Y36" s="22"/>
      <c r="Z36" s="22"/>
      <c r="AA36" s="22"/>
      <c r="AB36" s="22"/>
      <c r="AC36" s="22"/>
      <c r="AD36" s="22"/>
      <c r="AE36" s="22"/>
      <c r="AF36" s="22"/>
      <c r="AG36" s="22"/>
      <c r="AH36" s="22"/>
      <c r="AI36" s="22"/>
      <c r="AJ36" s="22"/>
      <c r="AK36" s="22"/>
      <c r="AL36" s="22"/>
    </row>
    <row r="37" spans="1:38" ht="15.75" customHeight="1">
      <c r="A37" s="2">
        <v>156696</v>
      </c>
      <c r="B37" s="74">
        <v>45504</v>
      </c>
      <c r="C37" s="78" t="s">
        <v>104</v>
      </c>
      <c r="D37" s="2">
        <v>70</v>
      </c>
      <c r="E37" s="6"/>
      <c r="G37" s="23">
        <f>537.5+55</f>
        <v>592.5</v>
      </c>
      <c r="H37" s="6">
        <f t="shared" ref="H37:H41" si="9">D37*G37</f>
        <v>41475</v>
      </c>
      <c r="I37" s="22" t="s">
        <v>105</v>
      </c>
      <c r="J37" s="21">
        <v>41475</v>
      </c>
      <c r="K37" s="79"/>
      <c r="O37" s="2" t="s">
        <v>106</v>
      </c>
      <c r="P37" s="53"/>
      <c r="Q37" s="6">
        <f>G47</f>
        <v>537.5</v>
      </c>
    </row>
    <row r="38" spans="1:38" ht="15.75" customHeight="1">
      <c r="A38" s="2">
        <v>156742</v>
      </c>
      <c r="B38" s="74">
        <v>45595</v>
      </c>
      <c r="C38" s="2" t="s">
        <v>31</v>
      </c>
      <c r="D38" s="2">
        <v>20</v>
      </c>
      <c r="E38" s="6"/>
      <c r="F38" s="2" t="s">
        <v>32</v>
      </c>
      <c r="G38" s="23">
        <v>537.5</v>
      </c>
      <c r="H38" s="6">
        <f t="shared" si="9"/>
        <v>10750</v>
      </c>
      <c r="I38" s="22" t="s">
        <v>28</v>
      </c>
      <c r="J38" s="21">
        <v>10750</v>
      </c>
      <c r="K38" s="74">
        <v>45611</v>
      </c>
      <c r="L38" s="2">
        <v>20</v>
      </c>
      <c r="M38" s="2"/>
      <c r="P38" s="57"/>
      <c r="Q38" s="22"/>
      <c r="R38" s="22"/>
      <c r="S38" s="22"/>
      <c r="T38" s="22"/>
      <c r="U38" s="22"/>
      <c r="V38" s="22"/>
      <c r="W38" s="22"/>
      <c r="X38" s="22"/>
      <c r="Y38" s="22"/>
      <c r="Z38" s="22"/>
      <c r="AA38" s="22"/>
      <c r="AB38" s="22"/>
      <c r="AC38" s="22"/>
      <c r="AD38" s="22"/>
      <c r="AE38" s="22"/>
      <c r="AF38" s="22"/>
      <c r="AG38" s="22"/>
      <c r="AH38" s="22"/>
      <c r="AI38" s="22"/>
      <c r="AJ38" s="22"/>
      <c r="AK38" s="22"/>
      <c r="AL38" s="22"/>
    </row>
    <row r="39" spans="1:38" ht="15.75" customHeight="1">
      <c r="A39" s="2">
        <v>156742</v>
      </c>
      <c r="B39" s="74">
        <v>45602</v>
      </c>
      <c r="C39" s="2" t="s">
        <v>31</v>
      </c>
      <c r="D39" s="2">
        <v>10</v>
      </c>
      <c r="E39" s="6"/>
      <c r="F39" s="2" t="s">
        <v>32</v>
      </c>
      <c r="G39" s="23">
        <v>537.5</v>
      </c>
      <c r="H39" s="6">
        <f t="shared" si="9"/>
        <v>5375</v>
      </c>
      <c r="I39" s="22" t="s">
        <v>28</v>
      </c>
      <c r="J39" s="21">
        <v>5375</v>
      </c>
      <c r="K39" s="74">
        <v>45611</v>
      </c>
      <c r="L39" s="2">
        <v>10</v>
      </c>
      <c r="M39" s="2"/>
      <c r="P39" s="53"/>
    </row>
    <row r="40" spans="1:38" ht="15.75" customHeight="1">
      <c r="A40" s="2">
        <v>156751</v>
      </c>
      <c r="B40" s="74">
        <v>45602</v>
      </c>
      <c r="C40" s="2" t="s">
        <v>31</v>
      </c>
      <c r="D40" s="2">
        <v>30</v>
      </c>
      <c r="E40" s="6"/>
      <c r="F40" s="2" t="s">
        <v>32</v>
      </c>
      <c r="G40" s="23">
        <f t="shared" ref="G40:G41" si="10">G38</f>
        <v>537.5</v>
      </c>
      <c r="H40" s="6">
        <f t="shared" si="9"/>
        <v>16125</v>
      </c>
      <c r="I40" s="22" t="s">
        <v>28</v>
      </c>
      <c r="J40" s="21">
        <v>16125</v>
      </c>
      <c r="K40" s="74">
        <v>45611</v>
      </c>
      <c r="L40" s="2">
        <v>30</v>
      </c>
      <c r="M40" s="2"/>
      <c r="P40" s="53"/>
    </row>
    <row r="41" spans="1:38" ht="15.75" customHeight="1">
      <c r="A41" s="34">
        <v>156754</v>
      </c>
      <c r="B41" s="80">
        <v>45610</v>
      </c>
      <c r="C41" s="34" t="s">
        <v>31</v>
      </c>
      <c r="D41" s="34">
        <v>15</v>
      </c>
      <c r="E41" s="81"/>
      <c r="F41" s="34"/>
      <c r="G41" s="82">
        <f t="shared" si="10"/>
        <v>537.5</v>
      </c>
      <c r="H41" s="81">
        <f t="shared" si="9"/>
        <v>8062.5</v>
      </c>
      <c r="I41" s="83"/>
      <c r="J41" s="83"/>
      <c r="K41" s="80">
        <v>45620</v>
      </c>
      <c r="L41" s="34">
        <v>15</v>
      </c>
      <c r="M41" s="34"/>
      <c r="N41" s="34"/>
      <c r="O41" s="34"/>
      <c r="P41" s="84"/>
      <c r="Q41" s="34"/>
      <c r="R41" s="34"/>
      <c r="S41" s="34"/>
      <c r="T41" s="34"/>
      <c r="U41" s="34"/>
      <c r="V41" s="34"/>
      <c r="W41" s="34"/>
      <c r="X41" s="34"/>
      <c r="Y41" s="34"/>
      <c r="Z41" s="34"/>
      <c r="AA41" s="34"/>
      <c r="AB41" s="34"/>
      <c r="AC41" s="34"/>
      <c r="AD41" s="34"/>
      <c r="AE41" s="34"/>
      <c r="AF41" s="34"/>
      <c r="AG41" s="34"/>
      <c r="AH41" s="34"/>
      <c r="AI41" s="34"/>
      <c r="AJ41" s="34"/>
      <c r="AK41" s="34"/>
      <c r="AL41" s="34"/>
    </row>
    <row r="42" spans="1:38" ht="15.75" customHeight="1">
      <c r="A42" s="18"/>
      <c r="B42" s="18"/>
      <c r="C42" s="76" t="s">
        <v>107</v>
      </c>
      <c r="D42" s="76">
        <v>20</v>
      </c>
      <c r="E42" s="76">
        <v>20</v>
      </c>
      <c r="F42" s="18"/>
      <c r="G42" s="58"/>
      <c r="H42" s="20">
        <f>SUM(H43:H44)</f>
        <v>19912.5</v>
      </c>
      <c r="I42" s="18"/>
      <c r="J42" s="18"/>
      <c r="K42" s="18"/>
      <c r="L42" s="18"/>
      <c r="O42" s="22"/>
      <c r="P42" s="57"/>
      <c r="Q42" s="22"/>
      <c r="R42" s="22"/>
      <c r="S42" s="22"/>
      <c r="T42" s="22"/>
      <c r="U42" s="22"/>
      <c r="V42" s="22"/>
      <c r="W42" s="22"/>
      <c r="X42" s="22"/>
      <c r="Y42" s="22"/>
      <c r="Z42" s="22"/>
      <c r="AA42" s="22"/>
      <c r="AB42" s="22"/>
      <c r="AC42" s="22"/>
      <c r="AD42" s="22"/>
      <c r="AE42" s="22"/>
      <c r="AF42" s="22"/>
      <c r="AG42" s="22"/>
      <c r="AH42" s="22"/>
      <c r="AI42" s="22"/>
      <c r="AJ42" s="22"/>
      <c r="AK42" s="22"/>
      <c r="AL42" s="22"/>
    </row>
    <row r="43" spans="1:38" ht="15.75" customHeight="1">
      <c r="A43" s="2">
        <v>156716</v>
      </c>
      <c r="B43" s="74">
        <v>45538</v>
      </c>
      <c r="C43" s="78" t="s">
        <v>104</v>
      </c>
      <c r="D43" s="2">
        <v>20</v>
      </c>
      <c r="E43" s="6"/>
      <c r="F43" s="2" t="s">
        <v>32</v>
      </c>
      <c r="G43" s="23">
        <f>537.5+55</f>
        <v>592.5</v>
      </c>
      <c r="H43" s="6">
        <f t="shared" ref="H43:H44" si="11">D43*G43</f>
        <v>11850</v>
      </c>
      <c r="I43" s="22" t="s">
        <v>28</v>
      </c>
      <c r="J43" s="21">
        <v>11850</v>
      </c>
      <c r="K43" s="74">
        <v>45567</v>
      </c>
      <c r="O43" s="22"/>
      <c r="P43" s="57"/>
      <c r="Q43" s="22"/>
      <c r="R43" s="22"/>
      <c r="S43" s="22"/>
      <c r="T43" s="22"/>
      <c r="U43" s="22"/>
      <c r="V43" s="22"/>
      <c r="W43" s="22"/>
      <c r="X43" s="22"/>
      <c r="Y43" s="22"/>
      <c r="Z43" s="22"/>
      <c r="AA43" s="22"/>
      <c r="AB43" s="22"/>
      <c r="AC43" s="22"/>
      <c r="AD43" s="22"/>
      <c r="AE43" s="22"/>
      <c r="AF43" s="22"/>
      <c r="AG43" s="22"/>
      <c r="AH43" s="22"/>
      <c r="AI43" s="22"/>
      <c r="AJ43" s="22"/>
      <c r="AK43" s="22"/>
      <c r="AL43" s="22"/>
    </row>
    <row r="44" spans="1:38" ht="15.75" customHeight="1">
      <c r="A44" s="34">
        <v>156754</v>
      </c>
      <c r="B44" s="80">
        <v>45610</v>
      </c>
      <c r="C44" s="34" t="s">
        <v>31</v>
      </c>
      <c r="D44" s="34">
        <v>15</v>
      </c>
      <c r="E44" s="81"/>
      <c r="F44" s="34" t="s">
        <v>32</v>
      </c>
      <c r="G44" s="82">
        <f>G40</f>
        <v>537.5</v>
      </c>
      <c r="H44" s="81">
        <f t="shared" si="11"/>
        <v>8062.5</v>
      </c>
      <c r="I44" s="83"/>
      <c r="J44" s="83"/>
      <c r="K44" s="80">
        <v>45620</v>
      </c>
      <c r="L44" s="34">
        <v>15</v>
      </c>
      <c r="M44" s="34"/>
      <c r="N44" s="34"/>
      <c r="O44" s="34"/>
      <c r="P44" s="84"/>
      <c r="Q44" s="34"/>
      <c r="R44" s="34"/>
      <c r="S44" s="34"/>
      <c r="T44" s="34"/>
      <c r="U44" s="34"/>
      <c r="V44" s="34"/>
      <c r="W44" s="34"/>
      <c r="X44" s="34"/>
      <c r="Y44" s="34"/>
      <c r="Z44" s="34"/>
      <c r="AA44" s="34"/>
      <c r="AB44" s="34"/>
      <c r="AC44" s="34"/>
      <c r="AD44" s="34"/>
      <c r="AE44" s="34"/>
      <c r="AF44" s="34"/>
      <c r="AG44" s="34"/>
      <c r="AH44" s="34"/>
      <c r="AI44" s="34"/>
      <c r="AJ44" s="34"/>
      <c r="AK44" s="34"/>
      <c r="AL44" s="34"/>
    </row>
    <row r="45" spans="1:38" ht="15.75" customHeight="1">
      <c r="A45" s="18"/>
      <c r="B45" s="18"/>
      <c r="C45" s="76" t="s">
        <v>108</v>
      </c>
      <c r="D45" s="85">
        <v>100</v>
      </c>
      <c r="E45" s="85">
        <v>100</v>
      </c>
      <c r="F45" s="85"/>
      <c r="G45" s="58"/>
      <c r="H45" s="20">
        <f>SUM(H46:H51)</f>
        <v>104937.5</v>
      </c>
      <c r="I45" s="18"/>
      <c r="J45" s="18"/>
      <c r="K45" s="18"/>
      <c r="L45" s="18"/>
      <c r="O45" s="22"/>
      <c r="P45" s="57"/>
      <c r="Q45" s="22"/>
      <c r="R45" s="22"/>
      <c r="S45" s="22"/>
      <c r="T45" s="22"/>
      <c r="U45" s="22"/>
      <c r="V45" s="22"/>
      <c r="W45" s="22"/>
      <c r="X45" s="22"/>
      <c r="Y45" s="22"/>
      <c r="Z45" s="22"/>
      <c r="AA45" s="22"/>
      <c r="AB45" s="22"/>
      <c r="AC45" s="22"/>
      <c r="AD45" s="22"/>
      <c r="AE45" s="22"/>
      <c r="AF45" s="22"/>
      <c r="AG45" s="22"/>
      <c r="AH45" s="22"/>
      <c r="AI45" s="22"/>
      <c r="AJ45" s="22"/>
      <c r="AK45" s="22"/>
      <c r="AL45" s="22"/>
    </row>
    <row r="46" spans="1:38" ht="15.75" customHeight="1">
      <c r="A46" s="2">
        <v>156753</v>
      </c>
      <c r="B46" s="74">
        <v>45601</v>
      </c>
      <c r="C46" s="2" t="s">
        <v>104</v>
      </c>
      <c r="D46" s="2">
        <v>100</v>
      </c>
      <c r="E46" s="6"/>
      <c r="F46" s="73"/>
      <c r="G46" s="23">
        <f>537.5+55</f>
        <v>592.5</v>
      </c>
      <c r="H46" s="6">
        <f t="shared" ref="H46:H52" si="12">D46*G46</f>
        <v>59250</v>
      </c>
      <c r="I46" s="22" t="s">
        <v>28</v>
      </c>
      <c r="J46" s="21">
        <v>59250</v>
      </c>
      <c r="K46" s="74">
        <v>45614</v>
      </c>
      <c r="O46" s="22"/>
      <c r="P46" s="57"/>
      <c r="Q46" s="22"/>
      <c r="R46" s="22"/>
      <c r="S46" s="22"/>
      <c r="T46" s="22"/>
      <c r="U46" s="22"/>
      <c r="V46" s="22"/>
      <c r="W46" s="22"/>
      <c r="X46" s="22"/>
      <c r="Y46" s="22"/>
      <c r="Z46" s="22"/>
      <c r="AA46" s="22"/>
      <c r="AB46" s="22"/>
      <c r="AC46" s="22"/>
      <c r="AD46" s="22"/>
      <c r="AE46" s="22"/>
      <c r="AF46" s="22"/>
      <c r="AG46" s="22"/>
      <c r="AH46" s="22"/>
      <c r="AI46" s="22"/>
      <c r="AJ46" s="22"/>
      <c r="AK46" s="22"/>
      <c r="AL46" s="22"/>
    </row>
    <row r="47" spans="1:38" ht="15.75" customHeight="1">
      <c r="A47" s="2">
        <v>156770</v>
      </c>
      <c r="B47" s="2"/>
      <c r="C47" s="2" t="s">
        <v>31</v>
      </c>
      <c r="D47" s="2">
        <v>15</v>
      </c>
      <c r="E47" s="6"/>
      <c r="F47" s="2" t="s">
        <v>32</v>
      </c>
      <c r="G47" s="23">
        <v>537.5</v>
      </c>
      <c r="H47" s="6">
        <f t="shared" si="12"/>
        <v>8062.5</v>
      </c>
      <c r="I47" s="22" t="s">
        <v>28</v>
      </c>
      <c r="J47" s="21">
        <f t="shared" ref="J47:J51" si="13">H47</f>
        <v>8062.5</v>
      </c>
      <c r="K47" s="60">
        <v>45646</v>
      </c>
      <c r="L47" s="2">
        <v>15</v>
      </c>
      <c r="N47" s="2">
        <v>25</v>
      </c>
      <c r="O47" s="22"/>
      <c r="P47" s="57"/>
      <c r="Q47" s="22"/>
      <c r="R47" s="22"/>
      <c r="S47" s="22"/>
      <c r="T47" s="22"/>
      <c r="U47" s="22"/>
      <c r="V47" s="22"/>
      <c r="W47" s="22"/>
      <c r="X47" s="22"/>
      <c r="Y47" s="22"/>
      <c r="Z47" s="22"/>
      <c r="AA47" s="22"/>
      <c r="AB47" s="22"/>
      <c r="AC47" s="22"/>
      <c r="AD47" s="22"/>
      <c r="AE47" s="22"/>
      <c r="AF47" s="22"/>
      <c r="AG47" s="22"/>
      <c r="AH47" s="22"/>
      <c r="AI47" s="22"/>
      <c r="AJ47" s="22"/>
      <c r="AK47" s="22"/>
      <c r="AL47" s="22"/>
    </row>
    <row r="48" spans="1:38" ht="15.75" customHeight="1">
      <c r="A48" s="2">
        <v>156770</v>
      </c>
      <c r="B48" s="2"/>
      <c r="C48" s="2" t="s">
        <v>31</v>
      </c>
      <c r="D48" s="2">
        <v>10</v>
      </c>
      <c r="E48" s="6"/>
      <c r="F48" s="2" t="s">
        <v>34</v>
      </c>
      <c r="G48" s="23">
        <v>537.5</v>
      </c>
      <c r="H48" s="6">
        <f t="shared" si="12"/>
        <v>5375</v>
      </c>
      <c r="I48" s="22" t="s">
        <v>28</v>
      </c>
      <c r="J48" s="21">
        <f t="shared" si="13"/>
        <v>5375</v>
      </c>
      <c r="K48" s="60">
        <v>45646</v>
      </c>
      <c r="L48" s="2">
        <v>10</v>
      </c>
      <c r="N48" s="2">
        <v>25</v>
      </c>
      <c r="O48" s="22"/>
      <c r="P48" s="57"/>
      <c r="Q48" s="22"/>
      <c r="R48" s="22"/>
      <c r="S48" s="22"/>
      <c r="T48" s="22"/>
      <c r="U48" s="22"/>
      <c r="V48" s="22"/>
      <c r="W48" s="22"/>
      <c r="X48" s="22"/>
      <c r="Y48" s="22"/>
      <c r="Z48" s="22"/>
      <c r="AA48" s="22"/>
      <c r="AB48" s="22"/>
      <c r="AC48" s="22"/>
      <c r="AD48" s="22"/>
      <c r="AE48" s="22"/>
      <c r="AF48" s="22"/>
      <c r="AG48" s="22"/>
      <c r="AH48" s="22"/>
      <c r="AI48" s="22"/>
      <c r="AJ48" s="22"/>
      <c r="AK48" s="22"/>
      <c r="AL48" s="22"/>
    </row>
    <row r="49" spans="1:38" ht="15.75" customHeight="1">
      <c r="A49" s="2">
        <v>156781</v>
      </c>
      <c r="B49" s="2"/>
      <c r="C49" s="2" t="s">
        <v>31</v>
      </c>
      <c r="D49" s="2">
        <f>N49</f>
        <v>25</v>
      </c>
      <c r="E49" s="6"/>
      <c r="F49" s="2" t="s">
        <v>32</v>
      </c>
      <c r="G49" s="23">
        <f>G47</f>
        <v>537.5</v>
      </c>
      <c r="H49" s="6">
        <f t="shared" si="12"/>
        <v>13437.5</v>
      </c>
      <c r="I49" s="22" t="s">
        <v>28</v>
      </c>
      <c r="J49" s="21">
        <f t="shared" si="13"/>
        <v>13437.5</v>
      </c>
      <c r="K49" s="60">
        <v>45673</v>
      </c>
      <c r="L49" s="2">
        <v>25</v>
      </c>
      <c r="N49" s="2">
        <v>25</v>
      </c>
      <c r="P49" s="53"/>
    </row>
    <row r="50" spans="1:38" ht="15.75" customHeight="1">
      <c r="A50" s="2">
        <v>156781</v>
      </c>
      <c r="B50" s="2"/>
      <c r="C50" s="2" t="s">
        <v>31</v>
      </c>
      <c r="D50" s="2">
        <v>25</v>
      </c>
      <c r="E50" s="6"/>
      <c r="F50" s="2" t="s">
        <v>32</v>
      </c>
      <c r="G50" s="23">
        <f t="shared" ref="G50:G51" si="14">G49</f>
        <v>537.5</v>
      </c>
      <c r="H50" s="6">
        <f t="shared" si="12"/>
        <v>13437.5</v>
      </c>
      <c r="I50" s="22" t="s">
        <v>28</v>
      </c>
      <c r="J50" s="21">
        <f t="shared" si="13"/>
        <v>13437.5</v>
      </c>
      <c r="K50" s="60">
        <v>45673</v>
      </c>
      <c r="L50" s="2">
        <v>25</v>
      </c>
      <c r="N50" s="2">
        <v>25</v>
      </c>
      <c r="O50" s="22"/>
      <c r="P50" s="57"/>
      <c r="Q50" s="22"/>
      <c r="R50" s="22"/>
      <c r="S50" s="22"/>
      <c r="T50" s="22"/>
      <c r="U50" s="22"/>
      <c r="V50" s="22"/>
      <c r="W50" s="22"/>
      <c r="X50" s="22"/>
      <c r="Y50" s="22"/>
      <c r="Z50" s="22"/>
      <c r="AA50" s="22"/>
      <c r="AB50" s="22"/>
      <c r="AC50" s="22"/>
      <c r="AD50" s="22"/>
      <c r="AE50" s="22"/>
      <c r="AF50" s="22"/>
      <c r="AG50" s="22"/>
      <c r="AH50" s="22"/>
      <c r="AI50" s="22"/>
      <c r="AJ50" s="22"/>
      <c r="AK50" s="22"/>
      <c r="AL50" s="22"/>
    </row>
    <row r="51" spans="1:38" ht="15.75" customHeight="1">
      <c r="A51" s="2">
        <v>156781</v>
      </c>
      <c r="B51" s="2"/>
      <c r="C51" s="2" t="s">
        <v>31</v>
      </c>
      <c r="D51" s="2">
        <v>10</v>
      </c>
      <c r="E51" s="6"/>
      <c r="F51" s="2" t="s">
        <v>34</v>
      </c>
      <c r="G51" s="23">
        <f t="shared" si="14"/>
        <v>537.5</v>
      </c>
      <c r="H51" s="6">
        <f t="shared" si="12"/>
        <v>5375</v>
      </c>
      <c r="I51" s="22" t="s">
        <v>28</v>
      </c>
      <c r="J51" s="21">
        <f t="shared" si="13"/>
        <v>5375</v>
      </c>
      <c r="K51" s="60">
        <v>45673</v>
      </c>
      <c r="L51" s="2">
        <v>10</v>
      </c>
      <c r="N51" s="2">
        <v>25</v>
      </c>
      <c r="O51" s="22"/>
      <c r="P51" s="57"/>
      <c r="Q51" s="22"/>
      <c r="R51" s="22"/>
      <c r="S51" s="22"/>
      <c r="T51" s="22"/>
      <c r="U51" s="22"/>
      <c r="V51" s="22"/>
      <c r="W51" s="22"/>
      <c r="X51" s="22"/>
      <c r="Y51" s="22"/>
      <c r="Z51" s="22"/>
      <c r="AA51" s="22"/>
      <c r="AB51" s="22"/>
      <c r="AC51" s="22"/>
      <c r="AD51" s="22"/>
      <c r="AE51" s="22"/>
      <c r="AF51" s="22"/>
      <c r="AG51" s="22"/>
      <c r="AH51" s="22"/>
      <c r="AI51" s="22"/>
      <c r="AJ51" s="22"/>
      <c r="AK51" s="22"/>
      <c r="AL51" s="22"/>
    </row>
    <row r="52" spans="1:38" ht="15.75" customHeight="1">
      <c r="A52" s="2">
        <v>156791</v>
      </c>
      <c r="B52" s="2"/>
      <c r="C52" s="2" t="s">
        <v>31</v>
      </c>
      <c r="D52" s="2">
        <v>15</v>
      </c>
      <c r="E52" s="6"/>
      <c r="F52" s="86"/>
      <c r="G52" s="23">
        <f>G44</f>
        <v>537.5</v>
      </c>
      <c r="H52" s="6">
        <f t="shared" si="12"/>
        <v>8062.5</v>
      </c>
      <c r="I52" s="22" t="s">
        <v>28</v>
      </c>
      <c r="J52" s="21">
        <v>8062.5</v>
      </c>
      <c r="K52" s="60">
        <v>45706</v>
      </c>
      <c r="L52" s="2">
        <v>15</v>
      </c>
      <c r="N52" s="2">
        <v>30</v>
      </c>
      <c r="P52" s="53"/>
    </row>
    <row r="53" spans="1:38" ht="15.75" customHeight="1">
      <c r="A53" s="18"/>
      <c r="B53" s="18"/>
      <c r="C53" s="76" t="s">
        <v>109</v>
      </c>
      <c r="D53" s="85">
        <v>60</v>
      </c>
      <c r="E53" s="85">
        <v>60</v>
      </c>
      <c r="F53" s="85"/>
      <c r="G53" s="58"/>
      <c r="H53" s="20">
        <f>SUM(H54)</f>
        <v>35550</v>
      </c>
      <c r="I53" s="18"/>
      <c r="J53" s="18"/>
      <c r="K53" s="18"/>
      <c r="L53" s="18"/>
      <c r="P53" s="53"/>
    </row>
    <row r="54" spans="1:38" ht="15.75" customHeight="1">
      <c r="A54" s="2">
        <v>156752</v>
      </c>
      <c r="B54" s="74">
        <v>45601</v>
      </c>
      <c r="C54" s="2" t="s">
        <v>104</v>
      </c>
      <c r="D54" s="2">
        <v>60</v>
      </c>
      <c r="E54" s="6"/>
      <c r="F54" s="73"/>
      <c r="G54" s="23">
        <f>537.5+55</f>
        <v>592.5</v>
      </c>
      <c r="H54" s="6">
        <f t="shared" ref="H54:H55" si="15">D54*G54</f>
        <v>35550</v>
      </c>
      <c r="I54" s="22" t="s">
        <v>28</v>
      </c>
      <c r="J54" s="21">
        <v>35550</v>
      </c>
      <c r="K54" s="74">
        <v>45614</v>
      </c>
      <c r="O54" s="22"/>
      <c r="P54" s="57"/>
      <c r="Q54" s="22"/>
      <c r="R54" s="22"/>
      <c r="S54" s="22"/>
      <c r="T54" s="22"/>
      <c r="U54" s="22"/>
      <c r="V54" s="22"/>
      <c r="W54" s="22"/>
      <c r="X54" s="22"/>
      <c r="Y54" s="22"/>
      <c r="Z54" s="22"/>
      <c r="AA54" s="22"/>
      <c r="AB54" s="22"/>
      <c r="AC54" s="22"/>
      <c r="AD54" s="22"/>
      <c r="AE54" s="22"/>
      <c r="AF54" s="22"/>
      <c r="AG54" s="22"/>
      <c r="AH54" s="22"/>
      <c r="AI54" s="22"/>
      <c r="AJ54" s="22"/>
      <c r="AK54" s="22"/>
      <c r="AL54" s="22"/>
    </row>
    <row r="55" spans="1:38" ht="13">
      <c r="A55" s="2">
        <v>156781</v>
      </c>
      <c r="B55" s="2"/>
      <c r="C55" s="2" t="s">
        <v>31</v>
      </c>
      <c r="D55" s="2">
        <v>60</v>
      </c>
      <c r="E55" s="6"/>
      <c r="F55" s="86"/>
      <c r="G55" s="23">
        <f>G49</f>
        <v>537.5</v>
      </c>
      <c r="H55" s="6">
        <f t="shared" si="15"/>
        <v>32250</v>
      </c>
      <c r="I55" s="22" t="s">
        <v>28</v>
      </c>
      <c r="J55" s="21">
        <v>32250</v>
      </c>
      <c r="K55" s="60">
        <v>45706</v>
      </c>
      <c r="L55" s="2">
        <v>60</v>
      </c>
      <c r="N55" s="2">
        <v>25</v>
      </c>
      <c r="P55" s="53"/>
    </row>
    <row r="56" spans="1:38" ht="13">
      <c r="E56" s="6"/>
      <c r="F56" s="86"/>
      <c r="G56" s="23"/>
      <c r="I56" s="22"/>
      <c r="J56" s="22"/>
      <c r="K56" s="60"/>
      <c r="P56" s="53"/>
    </row>
    <row r="57" spans="1:38" ht="13">
      <c r="P57" s="53"/>
    </row>
    <row r="58" spans="1:38" ht="13">
      <c r="P58" s="53"/>
    </row>
    <row r="59" spans="1:38" ht="13">
      <c r="P59" s="53"/>
    </row>
    <row r="62" spans="1:38" ht="13">
      <c r="D62" s="2" t="s">
        <v>110</v>
      </c>
      <c r="E62" s="2" t="s">
        <v>111</v>
      </c>
    </row>
    <row r="63" spans="1:38" ht="13">
      <c r="C63" s="2" t="s">
        <v>75</v>
      </c>
      <c r="D63" s="2">
        <v>90</v>
      </c>
      <c r="F63" s="2" t="s">
        <v>18</v>
      </c>
      <c r="G63" s="2" t="s">
        <v>112</v>
      </c>
    </row>
    <row r="64" spans="1:38" ht="13">
      <c r="C64" s="2" t="s">
        <v>113</v>
      </c>
      <c r="D64" s="2">
        <v>20</v>
      </c>
      <c r="E64" s="6">
        <f>20*592.5</f>
        <v>11850</v>
      </c>
      <c r="G64" s="24">
        <v>45566</v>
      </c>
    </row>
    <row r="65" spans="2:16" ht="13">
      <c r="C65" s="2" t="s">
        <v>114</v>
      </c>
      <c r="D65" s="2">
        <v>25</v>
      </c>
      <c r="E65" s="2" t="e">
        <f>D65*#REF!</f>
        <v>#REF!</v>
      </c>
      <c r="F65" s="24">
        <v>45555</v>
      </c>
      <c r="G65" s="24">
        <f>F65+10</f>
        <v>45565</v>
      </c>
      <c r="H65" s="2" t="s">
        <v>115</v>
      </c>
    </row>
    <row r="66" spans="2:16" ht="13">
      <c r="C66" s="22" t="s">
        <v>116</v>
      </c>
      <c r="D66" s="22"/>
      <c r="E66" s="29">
        <f>D63*G50</f>
        <v>48375</v>
      </c>
    </row>
    <row r="67" spans="2:16" ht="13">
      <c r="C67" s="2" t="s">
        <v>117</v>
      </c>
      <c r="D67" s="2">
        <v>30</v>
      </c>
      <c r="E67" s="6">
        <f t="shared" ref="E67:E69" si="16">D67*$D$7*0.25</f>
        <v>16125</v>
      </c>
      <c r="F67" s="87">
        <v>45590</v>
      </c>
      <c r="G67" s="33">
        <f t="shared" ref="G67:G69" si="17">F67+10</f>
        <v>45600</v>
      </c>
      <c r="H67" s="2" t="s">
        <v>115</v>
      </c>
    </row>
    <row r="68" spans="2:16" ht="13">
      <c r="C68" s="2" t="s">
        <v>118</v>
      </c>
      <c r="D68" s="2">
        <v>30</v>
      </c>
      <c r="E68" s="6">
        <f t="shared" si="16"/>
        <v>16125</v>
      </c>
      <c r="F68" s="87">
        <v>45597</v>
      </c>
      <c r="G68" s="33">
        <f t="shared" si="17"/>
        <v>45607</v>
      </c>
      <c r="H68" s="2" t="s">
        <v>115</v>
      </c>
    </row>
    <row r="69" spans="2:16" ht="13">
      <c r="C69" s="2" t="s">
        <v>119</v>
      </c>
      <c r="D69" s="2">
        <v>30</v>
      </c>
      <c r="E69" s="6">
        <f t="shared" si="16"/>
        <v>16125</v>
      </c>
      <c r="F69" s="87">
        <v>45604</v>
      </c>
      <c r="G69" s="33">
        <f t="shared" si="17"/>
        <v>45614</v>
      </c>
      <c r="H69" s="2" t="s">
        <v>115</v>
      </c>
    </row>
    <row r="70" spans="2:16" ht="13">
      <c r="C70" s="22" t="s">
        <v>120</v>
      </c>
      <c r="D70" s="22">
        <f>SUM(N47:N58)</f>
        <v>180</v>
      </c>
      <c r="E70" s="29">
        <f>D70*G54</f>
        <v>106650</v>
      </c>
    </row>
    <row r="71" spans="2:16" ht="13">
      <c r="C71" s="2" t="s">
        <v>121</v>
      </c>
      <c r="D71" s="2">
        <v>100</v>
      </c>
      <c r="E71" s="6">
        <f t="shared" ref="E71:E72" si="18">D71*592.5</f>
        <v>59250</v>
      </c>
      <c r="I71" s="2" t="s">
        <v>122</v>
      </c>
    </row>
    <row r="72" spans="2:16" ht="13">
      <c r="C72" s="2" t="s">
        <v>123</v>
      </c>
      <c r="D72" s="2">
        <v>60</v>
      </c>
      <c r="E72" s="6">
        <f t="shared" si="18"/>
        <v>35550</v>
      </c>
      <c r="I72" s="2" t="s">
        <v>122</v>
      </c>
    </row>
    <row r="75" spans="2:16" ht="13">
      <c r="B75" s="88" t="s">
        <v>124</v>
      </c>
      <c r="C75" s="88" t="s">
        <v>125</v>
      </c>
      <c r="D75" s="88"/>
      <c r="E75" s="88"/>
      <c r="F75" s="88"/>
      <c r="G75" s="88"/>
      <c r="H75" s="88"/>
    </row>
    <row r="77" spans="2:16" ht="13">
      <c r="P77" s="53"/>
    </row>
    <row r="78" spans="2:16" ht="13">
      <c r="P78" s="53"/>
    </row>
    <row r="79" spans="2:16" ht="13">
      <c r="P79" s="53"/>
    </row>
    <row r="80" spans="2:16" ht="13">
      <c r="P80" s="53"/>
    </row>
    <row r="81" spans="2:24" ht="13">
      <c r="P81" s="53"/>
    </row>
    <row r="82" spans="2:24" ht="13">
      <c r="P82" s="53"/>
    </row>
    <row r="83" spans="2:24" ht="13">
      <c r="P83" s="53"/>
    </row>
    <row r="84" spans="2:24" ht="13">
      <c r="P84" s="53"/>
    </row>
    <row r="85" spans="2:24" ht="13">
      <c r="P85" s="53"/>
    </row>
    <row r="86" spans="2:24" ht="13">
      <c r="P86" s="53"/>
    </row>
    <row r="87" spans="2:24" ht="13">
      <c r="P87" s="53"/>
    </row>
    <row r="88" spans="2:24" ht="13">
      <c r="P88" s="53"/>
    </row>
    <row r="89" spans="2:24" ht="13">
      <c r="P89" s="53"/>
    </row>
    <row r="90" spans="2:24" ht="14">
      <c r="C90" s="35">
        <v>45200</v>
      </c>
      <c r="D90" s="2" t="s">
        <v>52</v>
      </c>
      <c r="E90" s="2" t="s">
        <v>53</v>
      </c>
      <c r="F90" s="2"/>
      <c r="G90" s="2" t="s">
        <v>54</v>
      </c>
      <c r="H90" s="2" t="s">
        <v>55</v>
      </c>
      <c r="I90" s="2" t="s">
        <v>56</v>
      </c>
      <c r="J90" s="2" t="s">
        <v>57</v>
      </c>
      <c r="K90" s="2" t="s">
        <v>126</v>
      </c>
      <c r="L90" s="2" t="s">
        <v>127</v>
      </c>
      <c r="M90" s="2" t="s">
        <v>128</v>
      </c>
      <c r="N90" s="2" t="s">
        <v>129</v>
      </c>
      <c r="O90" s="2" t="s">
        <v>130</v>
      </c>
      <c r="P90" s="53" t="s">
        <v>131</v>
      </c>
      <c r="Q90" s="2" t="s">
        <v>52</v>
      </c>
      <c r="R90" s="2" t="s">
        <v>53</v>
      </c>
    </row>
    <row r="91" spans="2:24" ht="16">
      <c r="B91" s="36" t="s">
        <v>58</v>
      </c>
      <c r="C91" s="37"/>
      <c r="D91" s="38">
        <v>100</v>
      </c>
      <c r="E91" s="39"/>
      <c r="F91" s="38"/>
      <c r="G91" s="38"/>
      <c r="H91" s="39">
        <v>50</v>
      </c>
      <c r="I91" s="38"/>
      <c r="J91" s="38">
        <v>30</v>
      </c>
      <c r="K91" s="38">
        <v>70</v>
      </c>
      <c r="L91" s="89">
        <v>50</v>
      </c>
      <c r="M91" s="89">
        <v>50</v>
      </c>
      <c r="N91" s="89">
        <v>50</v>
      </c>
      <c r="O91" s="89">
        <v>50</v>
      </c>
      <c r="P91" s="89">
        <v>50</v>
      </c>
      <c r="Q91" s="90"/>
      <c r="R91" s="90"/>
      <c r="S91" s="39">
        <f t="shared" ref="S91:S92" si="19">SUM(C91:R91)</f>
        <v>500</v>
      </c>
      <c r="T91" s="36"/>
      <c r="U91" s="36"/>
      <c r="V91" s="36"/>
      <c r="W91" s="36">
        <f t="shared" ref="W91:W94" si="20">SUM(C91:S91)</f>
        <v>1000</v>
      </c>
      <c r="X91" s="40"/>
    </row>
    <row r="92" spans="2:24" ht="16">
      <c r="B92" s="36" t="s">
        <v>59</v>
      </c>
      <c r="C92" s="41"/>
      <c r="D92" s="42"/>
      <c r="E92" s="42">
        <v>35</v>
      </c>
      <c r="F92" s="42"/>
      <c r="G92" s="42">
        <v>15</v>
      </c>
      <c r="H92" s="43">
        <v>50</v>
      </c>
      <c r="I92" s="42"/>
      <c r="J92" s="42"/>
      <c r="K92" s="42">
        <v>25</v>
      </c>
      <c r="L92" s="42"/>
      <c r="M92" s="42">
        <v>55</v>
      </c>
      <c r="N92" s="91">
        <v>70</v>
      </c>
      <c r="O92" s="92">
        <v>60</v>
      </c>
      <c r="P92" s="92">
        <v>70</v>
      </c>
      <c r="Q92" s="92">
        <v>60</v>
      </c>
      <c r="R92" s="92">
        <v>60</v>
      </c>
      <c r="S92" s="42">
        <f t="shared" si="19"/>
        <v>500</v>
      </c>
      <c r="T92" s="36"/>
      <c r="U92" s="36"/>
      <c r="V92" s="36"/>
      <c r="W92" s="36">
        <f t="shared" si="20"/>
        <v>1000</v>
      </c>
      <c r="X92" s="40"/>
    </row>
    <row r="93" spans="2:24" ht="16">
      <c r="B93" s="36" t="s">
        <v>59</v>
      </c>
      <c r="C93" s="41"/>
      <c r="D93" s="42"/>
      <c r="E93" s="42"/>
      <c r="F93" s="42"/>
      <c r="G93" s="42"/>
      <c r="H93" s="43"/>
      <c r="I93" s="42"/>
      <c r="J93" s="42"/>
      <c r="K93" s="42"/>
      <c r="L93" s="42"/>
      <c r="M93" s="43"/>
      <c r="N93" s="43"/>
      <c r="O93" s="43"/>
      <c r="P93" s="93"/>
      <c r="Q93" s="93"/>
      <c r="R93" s="93"/>
      <c r="S93" s="42">
        <f t="shared" ref="S93:S94" si="21">SUM(C93:O93)</f>
        <v>0</v>
      </c>
      <c r="T93" s="36"/>
      <c r="U93" s="36"/>
      <c r="V93" s="36"/>
      <c r="W93" s="36">
        <f t="shared" si="20"/>
        <v>0</v>
      </c>
      <c r="X93" s="40"/>
    </row>
    <row r="94" spans="2:24" ht="16">
      <c r="B94" s="36" t="s">
        <v>59</v>
      </c>
      <c r="C94" s="41"/>
      <c r="D94" s="42"/>
      <c r="E94" s="42"/>
      <c r="F94" s="42"/>
      <c r="G94" s="42"/>
      <c r="H94" s="43"/>
      <c r="I94" s="42"/>
      <c r="J94" s="42"/>
      <c r="K94" s="42"/>
      <c r="L94" s="42"/>
      <c r="M94" s="43"/>
      <c r="N94" s="43"/>
      <c r="O94" s="43"/>
      <c r="P94" s="93"/>
      <c r="Q94" s="93"/>
      <c r="R94" s="93"/>
      <c r="S94" s="42">
        <f t="shared" si="21"/>
        <v>0</v>
      </c>
      <c r="T94" s="36"/>
      <c r="U94" s="36"/>
      <c r="V94" s="36"/>
      <c r="W94" s="36">
        <f t="shared" si="20"/>
        <v>0</v>
      </c>
      <c r="X94" s="40"/>
    </row>
    <row r="95" spans="2:24" ht="16">
      <c r="B95" s="36"/>
      <c r="C95" s="40"/>
      <c r="D95" s="40"/>
      <c r="E95" s="40"/>
      <c r="F95" s="40"/>
      <c r="G95" s="40"/>
      <c r="H95" s="40"/>
      <c r="I95" s="40"/>
      <c r="J95" s="40"/>
      <c r="K95" s="40"/>
      <c r="L95" s="40"/>
      <c r="M95" s="40"/>
      <c r="N95" s="40"/>
      <c r="O95" s="40"/>
      <c r="P95" s="94"/>
      <c r="Q95" s="94"/>
      <c r="R95" s="94"/>
      <c r="S95" s="40"/>
      <c r="T95" s="40"/>
      <c r="U95" s="40"/>
      <c r="V95" s="40"/>
      <c r="W95" s="40"/>
      <c r="X95" s="40"/>
    </row>
    <row r="96" spans="2:24" ht="16">
      <c r="B96" s="36" t="s">
        <v>60</v>
      </c>
      <c r="C96" s="44">
        <f t="shared" ref="C96:E96" si="22">C$91*(2300*0.5)</f>
        <v>0</v>
      </c>
      <c r="D96" s="44">
        <f t="shared" si="22"/>
        <v>115000</v>
      </c>
      <c r="E96" s="44">
        <f t="shared" si="22"/>
        <v>0</v>
      </c>
      <c r="F96" s="44"/>
      <c r="G96" s="44">
        <f t="shared" ref="G96:J96" si="23">G$91*(2300*0.5)</f>
        <v>0</v>
      </c>
      <c r="H96" s="44">
        <f t="shared" si="23"/>
        <v>57500</v>
      </c>
      <c r="I96" s="44">
        <f t="shared" si="23"/>
        <v>0</v>
      </c>
      <c r="J96" s="44">
        <f t="shared" si="23"/>
        <v>34500</v>
      </c>
      <c r="K96" s="44"/>
      <c r="L96" s="44">
        <f t="shared" ref="L96:O96" si="24">L$91*(2300*0.5)</f>
        <v>57500</v>
      </c>
      <c r="M96" s="44">
        <f t="shared" si="24"/>
        <v>57500</v>
      </c>
      <c r="N96" s="44">
        <f t="shared" si="24"/>
        <v>57500</v>
      </c>
      <c r="O96" s="44">
        <f t="shared" si="24"/>
        <v>57500</v>
      </c>
      <c r="P96" s="95"/>
      <c r="Q96" s="95"/>
      <c r="R96" s="95"/>
      <c r="S96" s="44">
        <f>S$91*(2300*0.5)</f>
        <v>575000</v>
      </c>
      <c r="T96" s="36"/>
      <c r="U96" s="36"/>
      <c r="V96" s="36"/>
      <c r="W96" s="46">
        <f t="shared" ref="W96:W99" si="25">SUM(C96:S96)</f>
        <v>1012000</v>
      </c>
      <c r="X96" s="47"/>
    </row>
    <row r="97" spans="2:24" ht="16">
      <c r="B97" s="36" t="s">
        <v>61</v>
      </c>
      <c r="C97" s="44">
        <f t="shared" ref="C97:E97" si="26">C$91*(2300*0.25)</f>
        <v>0</v>
      </c>
      <c r="D97" s="44">
        <f t="shared" si="26"/>
        <v>57500</v>
      </c>
      <c r="E97" s="44">
        <f t="shared" si="26"/>
        <v>0</v>
      </c>
      <c r="F97" s="44"/>
      <c r="G97" s="44">
        <f t="shared" ref="G97:J97" si="27">G$91*(2300*0.25)</f>
        <v>0</v>
      </c>
      <c r="H97" s="44">
        <f t="shared" si="27"/>
        <v>28750</v>
      </c>
      <c r="I97" s="44">
        <f t="shared" si="27"/>
        <v>0</v>
      </c>
      <c r="J97" s="44">
        <f t="shared" si="27"/>
        <v>17250</v>
      </c>
      <c r="K97" s="44"/>
      <c r="L97" s="44">
        <f t="shared" ref="L97:O97" si="28">L$91*(2300*0.25)</f>
        <v>28750</v>
      </c>
      <c r="M97" s="44">
        <f t="shared" si="28"/>
        <v>28750</v>
      </c>
      <c r="N97" s="44">
        <f t="shared" si="28"/>
        <v>28750</v>
      </c>
      <c r="O97" s="44">
        <f t="shared" si="28"/>
        <v>28750</v>
      </c>
      <c r="P97" s="95"/>
      <c r="Q97" s="95"/>
      <c r="R97" s="95"/>
      <c r="S97" s="44">
        <f>S$91*(2300*0.25)</f>
        <v>287500</v>
      </c>
      <c r="T97" s="36"/>
      <c r="U97" s="36"/>
      <c r="V97" s="36"/>
      <c r="W97" s="46">
        <f t="shared" si="25"/>
        <v>506000</v>
      </c>
      <c r="X97" s="48"/>
    </row>
    <row r="98" spans="2:24" ht="16">
      <c r="B98" s="36" t="s">
        <v>62</v>
      </c>
      <c r="C98" s="44">
        <f t="shared" ref="C98:E98" si="29">C$92*(2300*0.25)</f>
        <v>0</v>
      </c>
      <c r="D98" s="44">
        <f t="shared" si="29"/>
        <v>0</v>
      </c>
      <c r="E98" s="44">
        <f t="shared" si="29"/>
        <v>20125</v>
      </c>
      <c r="F98" s="44"/>
      <c r="G98" s="44">
        <f t="shared" ref="G98:J98" si="30">G$92*(2300*0.25)</f>
        <v>8625</v>
      </c>
      <c r="H98" s="44">
        <f t="shared" si="30"/>
        <v>28750</v>
      </c>
      <c r="I98" s="44">
        <f t="shared" si="30"/>
        <v>0</v>
      </c>
      <c r="J98" s="44">
        <f t="shared" si="30"/>
        <v>0</v>
      </c>
      <c r="K98" s="44"/>
      <c r="L98" s="44">
        <f t="shared" ref="L98:M98" si="31">M$92*(2300*0.25)</f>
        <v>31625</v>
      </c>
      <c r="M98" s="44">
        <f t="shared" si="31"/>
        <v>40250</v>
      </c>
      <c r="N98" s="44" t="e">
        <f t="shared" ref="N98:N99" si="32">#REF!*(2300*0.25)</f>
        <v>#REF!</v>
      </c>
      <c r="O98" s="44">
        <f t="shared" ref="O98:O99" si="33">O$92*(2300*0.25)</f>
        <v>34500</v>
      </c>
      <c r="P98" s="95"/>
      <c r="Q98" s="95"/>
      <c r="R98" s="95"/>
      <c r="S98" s="44">
        <f t="shared" ref="S98:S99" si="34">S$92*(2300*0.25)</f>
        <v>287500</v>
      </c>
      <c r="T98" s="36"/>
      <c r="U98" s="36"/>
      <c r="V98" s="36"/>
      <c r="W98" s="36" t="e">
        <f t="shared" si="25"/>
        <v>#REF!</v>
      </c>
      <c r="X98" s="49" t="e">
        <f t="shared" ref="X98:X99" si="35">SUM(W96:W98)</f>
        <v>#REF!</v>
      </c>
    </row>
    <row r="99" spans="2:24" ht="16">
      <c r="B99" s="36" t="s">
        <v>62</v>
      </c>
      <c r="C99" s="44">
        <f t="shared" ref="C99:E99" si="36">C$92*(2300*0.25)</f>
        <v>0</v>
      </c>
      <c r="D99" s="44">
        <f t="shared" si="36"/>
        <v>0</v>
      </c>
      <c r="E99" s="44">
        <f t="shared" si="36"/>
        <v>20125</v>
      </c>
      <c r="F99" s="44"/>
      <c r="G99" s="44">
        <f t="shared" ref="G99:J99" si="37">G$92*(2300*0.25)</f>
        <v>8625</v>
      </c>
      <c r="H99" s="44">
        <f t="shared" si="37"/>
        <v>28750</v>
      </c>
      <c r="I99" s="44">
        <f t="shared" si="37"/>
        <v>0</v>
      </c>
      <c r="J99" s="44">
        <f t="shared" si="37"/>
        <v>0</v>
      </c>
      <c r="K99" s="44"/>
      <c r="L99" s="44">
        <f t="shared" ref="L99:M99" si="38">M$92*(2300*0.25)</f>
        <v>31625</v>
      </c>
      <c r="M99" s="44">
        <f t="shared" si="38"/>
        <v>40250</v>
      </c>
      <c r="N99" s="44" t="e">
        <f t="shared" si="32"/>
        <v>#REF!</v>
      </c>
      <c r="O99" s="44">
        <f t="shared" si="33"/>
        <v>34500</v>
      </c>
      <c r="P99" s="95"/>
      <c r="Q99" s="95"/>
      <c r="R99" s="95"/>
      <c r="S99" s="44">
        <f t="shared" si="34"/>
        <v>287500</v>
      </c>
      <c r="T99" s="36"/>
      <c r="U99" s="36"/>
      <c r="V99" s="36"/>
      <c r="W99" s="36" t="e">
        <f t="shared" si="25"/>
        <v>#REF!</v>
      </c>
      <c r="X99" s="49" t="e">
        <f t="shared" si="35"/>
        <v>#REF!</v>
      </c>
    </row>
    <row r="100" spans="2:24" ht="16">
      <c r="B100" s="36"/>
      <c r="C100" s="48"/>
      <c r="D100" s="48"/>
      <c r="E100" s="48"/>
      <c r="F100" s="48"/>
      <c r="G100" s="48"/>
      <c r="H100" s="48"/>
      <c r="I100" s="48"/>
      <c r="J100" s="48"/>
      <c r="K100" s="48"/>
      <c r="L100" s="48"/>
      <c r="M100" s="48"/>
      <c r="N100" s="48"/>
      <c r="O100" s="48"/>
      <c r="P100" s="96"/>
      <c r="Q100" s="96"/>
      <c r="R100" s="96"/>
      <c r="S100" s="48"/>
      <c r="T100" s="48"/>
      <c r="U100" s="48"/>
      <c r="V100" s="48"/>
      <c r="W100" s="48"/>
      <c r="X100" s="48"/>
    </row>
    <row r="101" spans="2:24" ht="16">
      <c r="B101" s="36" t="s">
        <v>63</v>
      </c>
      <c r="C101" s="50">
        <v>287500</v>
      </c>
      <c r="D101" s="50">
        <v>86250</v>
      </c>
      <c r="E101" s="50">
        <v>155250</v>
      </c>
      <c r="F101" s="50"/>
      <c r="G101" s="50"/>
      <c r="H101" s="50">
        <v>86250</v>
      </c>
      <c r="I101" s="50"/>
      <c r="J101" s="50"/>
      <c r="K101" s="50"/>
      <c r="L101" s="50"/>
      <c r="M101" s="50">
        <v>155250</v>
      </c>
      <c r="N101" s="50"/>
      <c r="O101" s="50"/>
      <c r="P101" s="97"/>
      <c r="Q101" s="97"/>
      <c r="R101" s="97"/>
      <c r="S101" s="50">
        <v>253000</v>
      </c>
      <c r="T101" s="36"/>
      <c r="U101" s="36"/>
      <c r="V101" s="36"/>
      <c r="W101" s="46">
        <f>SUM(C101:S101)</f>
        <v>1023500</v>
      </c>
      <c r="X101" s="51" t="e">
        <f>W101-X98</f>
        <v>#REF!</v>
      </c>
    </row>
    <row r="102" spans="2:24" ht="16">
      <c r="B102" s="36"/>
      <c r="C102" s="48"/>
      <c r="D102" s="48"/>
      <c r="E102" s="48"/>
      <c r="F102" s="48"/>
      <c r="G102" s="48"/>
      <c r="H102" s="48"/>
      <c r="I102" s="48"/>
      <c r="J102" s="48"/>
      <c r="K102" s="48"/>
      <c r="L102" s="48"/>
      <c r="M102" s="48"/>
      <c r="N102" s="48"/>
      <c r="O102" s="48"/>
      <c r="P102" s="96"/>
      <c r="Q102" s="96"/>
      <c r="R102" s="96"/>
      <c r="S102" s="48"/>
      <c r="T102" s="48"/>
      <c r="U102" s="48"/>
      <c r="V102" s="48"/>
      <c r="W102" s="48"/>
      <c r="X102" s="48"/>
    </row>
    <row r="103" spans="2:24" ht="16">
      <c r="B103" s="36" t="s">
        <v>64</v>
      </c>
      <c r="C103" s="52">
        <f t="shared" ref="C103:E103" si="39">IF(C$92&gt;0,C$92*(2300*0.25),0)</f>
        <v>0</v>
      </c>
      <c r="D103" s="52">
        <f t="shared" si="39"/>
        <v>0</v>
      </c>
      <c r="E103" s="52">
        <f t="shared" si="39"/>
        <v>20125</v>
      </c>
      <c r="F103" s="52"/>
      <c r="G103" s="52">
        <f t="shared" ref="G103:J103" si="40">IF(G$92&gt;0,G$92*(2300*0.25),0)</f>
        <v>8625</v>
      </c>
      <c r="H103" s="52">
        <f t="shared" si="40"/>
        <v>28750</v>
      </c>
      <c r="I103" s="52">
        <f t="shared" si="40"/>
        <v>0</v>
      </c>
      <c r="J103" s="52">
        <f t="shared" si="40"/>
        <v>0</v>
      </c>
      <c r="K103" s="52"/>
      <c r="L103" s="52">
        <f t="shared" ref="L103:M103" si="41">IF(M$92&gt;0,M$92*(2300*0.25),0)</f>
        <v>31625</v>
      </c>
      <c r="M103" s="52">
        <f t="shared" si="41"/>
        <v>40250</v>
      </c>
      <c r="N103" s="52" t="e">
        <f>IF(#REF!&gt;0,#REF!*(2300*0.25),0)</f>
        <v>#REF!</v>
      </c>
      <c r="O103" s="52">
        <f>IF(O$92&gt;0,O$92*(2300*0.25),0)</f>
        <v>34500</v>
      </c>
      <c r="P103" s="98"/>
      <c r="Q103" s="98"/>
      <c r="R103" s="98"/>
      <c r="S103" s="52">
        <f>IF(S$92&gt;0,S$92*(2300*0.25),0)</f>
        <v>287500</v>
      </c>
      <c r="T103" s="36"/>
      <c r="U103" s="36"/>
      <c r="V103" s="36"/>
      <c r="W103" s="36" t="e">
        <f t="shared" ref="W103:W105" si="42">SUM(C103:S103)</f>
        <v>#REF!</v>
      </c>
      <c r="X103" s="48"/>
    </row>
    <row r="104" spans="2:24" ht="16">
      <c r="B104" s="36" t="s">
        <v>65</v>
      </c>
      <c r="C104" s="52">
        <f t="shared" ref="C104:E104" si="43">IF(C$92&gt;0,C$92*(2300*0.5),0)</f>
        <v>0</v>
      </c>
      <c r="D104" s="52">
        <f t="shared" si="43"/>
        <v>0</v>
      </c>
      <c r="E104" s="52">
        <f t="shared" si="43"/>
        <v>40250</v>
      </c>
      <c r="F104" s="52"/>
      <c r="G104" s="52">
        <f t="shared" ref="G104:J104" si="44">IF(G$92&gt;0,G$92*(2300*0.5),0)</f>
        <v>17250</v>
      </c>
      <c r="H104" s="52">
        <f t="shared" si="44"/>
        <v>57500</v>
      </c>
      <c r="I104" s="52">
        <f t="shared" si="44"/>
        <v>0</v>
      </c>
      <c r="J104" s="52">
        <f t="shared" si="44"/>
        <v>0</v>
      </c>
      <c r="K104" s="52"/>
      <c r="L104" s="52">
        <f t="shared" ref="L104:M104" si="45">IF(M$92&gt;0,M$92*(2300*0.5),0)</f>
        <v>63250</v>
      </c>
      <c r="M104" s="52">
        <f t="shared" si="45"/>
        <v>80500</v>
      </c>
      <c r="N104" s="52" t="e">
        <f>IF(#REF!&gt;0,#REF!*(2300*0.5),0)</f>
        <v>#REF!</v>
      </c>
      <c r="O104" s="52">
        <f>IF(O$92&gt;0,O$92*(2300*0.5),0)</f>
        <v>69000</v>
      </c>
      <c r="P104" s="98"/>
      <c r="Q104" s="98"/>
      <c r="R104" s="98"/>
      <c r="S104" s="52">
        <f>IF(S$92&gt;0,S$92*(2300*0.5),0)</f>
        <v>575000</v>
      </c>
      <c r="T104" s="36"/>
      <c r="U104" s="36"/>
      <c r="V104" s="36"/>
      <c r="W104" s="36" t="e">
        <f t="shared" si="42"/>
        <v>#REF!</v>
      </c>
      <c r="X104" s="47"/>
    </row>
    <row r="105" spans="2:24" ht="16">
      <c r="B105" s="36" t="s">
        <v>62</v>
      </c>
      <c r="C105" s="52">
        <f t="shared" ref="C105:E105" si="46">IF(C$92&gt;0,C$92*(2300*0.25),0)</f>
        <v>0</v>
      </c>
      <c r="D105" s="52">
        <f t="shared" si="46"/>
        <v>0</v>
      </c>
      <c r="E105" s="52">
        <f t="shared" si="46"/>
        <v>20125</v>
      </c>
      <c r="F105" s="52"/>
      <c r="G105" s="52">
        <f t="shared" ref="G105:J105" si="47">IF(G$92&gt;0,G$92*(2300*0.25),0)</f>
        <v>8625</v>
      </c>
      <c r="H105" s="52">
        <f t="shared" si="47"/>
        <v>28750</v>
      </c>
      <c r="I105" s="52">
        <f t="shared" si="47"/>
        <v>0</v>
      </c>
      <c r="J105" s="52">
        <f t="shared" si="47"/>
        <v>0</v>
      </c>
      <c r="K105" s="52"/>
      <c r="L105" s="52">
        <f t="shared" ref="L105:M105" si="48">IF(M$92&gt;0,M$92*(2300*0.25),0)</f>
        <v>31625</v>
      </c>
      <c r="M105" s="52">
        <f t="shared" si="48"/>
        <v>40250</v>
      </c>
      <c r="N105" s="52" t="e">
        <f>IF(#REF!&gt;0,#REF!*(2300*0.25),0)</f>
        <v>#REF!</v>
      </c>
      <c r="O105" s="52">
        <f>IF(O$92&gt;0,O$92*(2300*0.25),0)</f>
        <v>34500</v>
      </c>
      <c r="P105" s="98"/>
      <c r="Q105" s="98"/>
      <c r="R105" s="98"/>
      <c r="S105" s="52">
        <f>IF(S$92&gt;0,S$92*(2300*0.25),0)</f>
        <v>287500</v>
      </c>
      <c r="T105" s="36"/>
      <c r="U105" s="36"/>
      <c r="V105" s="36"/>
      <c r="W105" s="36" t="e">
        <f t="shared" si="42"/>
        <v>#REF!</v>
      </c>
      <c r="X105" s="49" t="e">
        <f>SUM(W103:W105)</f>
        <v>#REF!</v>
      </c>
    </row>
    <row r="106" spans="2:24" ht="13">
      <c r="P106" s="53"/>
    </row>
    <row r="107" spans="2:24" ht="13">
      <c r="P107" s="53"/>
    </row>
    <row r="108" spans="2:24" ht="13">
      <c r="P108" s="53"/>
    </row>
    <row r="109" spans="2:24" ht="13">
      <c r="P109" s="53"/>
    </row>
    <row r="110" spans="2:24" ht="13">
      <c r="P110" s="53"/>
    </row>
    <row r="111" spans="2:24" ht="13">
      <c r="P111" s="53"/>
    </row>
    <row r="112" spans="2:24" ht="13">
      <c r="P112" s="53"/>
    </row>
    <row r="113" spans="16:16" ht="13">
      <c r="P113" s="53"/>
    </row>
    <row r="114" spans="16:16" ht="13">
      <c r="P114" s="53"/>
    </row>
    <row r="115" spans="16:16" ht="13">
      <c r="P115" s="53"/>
    </row>
    <row r="116" spans="16:16" ht="13">
      <c r="P116" s="53"/>
    </row>
    <row r="117" spans="16:16" ht="13">
      <c r="P117" s="53"/>
    </row>
    <row r="118" spans="16:16" ht="13">
      <c r="P118" s="53"/>
    </row>
    <row r="119" spans="16:16" ht="13">
      <c r="P119" s="53"/>
    </row>
    <row r="120" spans="16:16" ht="13">
      <c r="P120" s="53"/>
    </row>
    <row r="121" spans="16:16" ht="13">
      <c r="P121" s="53"/>
    </row>
    <row r="122" spans="16:16" ht="13">
      <c r="P122" s="53"/>
    </row>
    <row r="123" spans="16:16" ht="13">
      <c r="P123" s="53"/>
    </row>
    <row r="124" spans="16:16" ht="13">
      <c r="P124" s="53"/>
    </row>
    <row r="125" spans="16:16" ht="13">
      <c r="P125" s="53"/>
    </row>
    <row r="126" spans="16:16" ht="13">
      <c r="P126" s="53"/>
    </row>
    <row r="127" spans="16:16" ht="13">
      <c r="P127" s="53"/>
    </row>
    <row r="128" spans="16:16" ht="13">
      <c r="P128" s="53"/>
    </row>
    <row r="129" spans="16:16" ht="13">
      <c r="P129" s="53"/>
    </row>
    <row r="130" spans="16:16" ht="13">
      <c r="P130" s="53"/>
    </row>
    <row r="131" spans="16:16" ht="13">
      <c r="P131" s="53"/>
    </row>
    <row r="132" spans="16:16" ht="13">
      <c r="P132" s="53"/>
    </row>
    <row r="133" spans="16:16" ht="13">
      <c r="P133" s="53"/>
    </row>
    <row r="134" spans="16:16" ht="13">
      <c r="P134" s="53"/>
    </row>
    <row r="135" spans="16:16" ht="13">
      <c r="P135" s="53"/>
    </row>
    <row r="136" spans="16:16" ht="13">
      <c r="P136" s="53"/>
    </row>
    <row r="137" spans="16:16" ht="13">
      <c r="P137" s="53"/>
    </row>
    <row r="138" spans="16:16" ht="13">
      <c r="P138" s="53"/>
    </row>
    <row r="139" spans="16:16" ht="13">
      <c r="P139" s="53"/>
    </row>
    <row r="140" spans="16:16" ht="13">
      <c r="P140" s="53"/>
    </row>
    <row r="141" spans="16:16" ht="13">
      <c r="P141" s="53"/>
    </row>
    <row r="142" spans="16:16" ht="13">
      <c r="P142" s="53"/>
    </row>
    <row r="143" spans="16:16" ht="13">
      <c r="P143" s="53"/>
    </row>
    <row r="144" spans="16:16" ht="13">
      <c r="P144" s="53"/>
    </row>
    <row r="145" spans="16:16" ht="13">
      <c r="P145" s="53"/>
    </row>
    <row r="146" spans="16:16" ht="13">
      <c r="P146" s="53"/>
    </row>
    <row r="147" spans="16:16" ht="13">
      <c r="P147" s="53"/>
    </row>
    <row r="148" spans="16:16" ht="13">
      <c r="P148" s="53"/>
    </row>
    <row r="149" spans="16:16" ht="13">
      <c r="P149" s="53"/>
    </row>
    <row r="150" spans="16:16" ht="13">
      <c r="P150" s="53"/>
    </row>
    <row r="151" spans="16:16" ht="13">
      <c r="P151" s="53"/>
    </row>
    <row r="152" spans="16:16" ht="13">
      <c r="P152" s="53"/>
    </row>
    <row r="153" spans="16:16" ht="13">
      <c r="P153" s="53"/>
    </row>
    <row r="154" spans="16:16" ht="13">
      <c r="P154" s="53"/>
    </row>
    <row r="155" spans="16:16" ht="13">
      <c r="P155" s="53"/>
    </row>
    <row r="156" spans="16:16" ht="13">
      <c r="P156" s="53"/>
    </row>
    <row r="157" spans="16:16" ht="13">
      <c r="P157" s="53"/>
    </row>
    <row r="158" spans="16:16" ht="13">
      <c r="P158" s="53"/>
    </row>
    <row r="159" spans="16:16" ht="13">
      <c r="P159" s="53"/>
    </row>
    <row r="160" spans="16:16" ht="13">
      <c r="P160" s="53"/>
    </row>
    <row r="161" spans="16:16" ht="13">
      <c r="P161" s="53"/>
    </row>
    <row r="162" spans="16:16" ht="13">
      <c r="P162" s="53"/>
    </row>
    <row r="163" spans="16:16" ht="13">
      <c r="P163" s="53"/>
    </row>
    <row r="164" spans="16:16" ht="13">
      <c r="P164" s="53"/>
    </row>
    <row r="165" spans="16:16" ht="13">
      <c r="P165" s="53"/>
    </row>
    <row r="166" spans="16:16" ht="13">
      <c r="P166" s="53"/>
    </row>
    <row r="167" spans="16:16" ht="13">
      <c r="P167" s="53"/>
    </row>
    <row r="168" spans="16:16" ht="13">
      <c r="P168" s="53"/>
    </row>
    <row r="169" spans="16:16" ht="13">
      <c r="P169" s="53"/>
    </row>
    <row r="170" spans="16:16" ht="13">
      <c r="P170" s="53"/>
    </row>
    <row r="171" spans="16:16" ht="13">
      <c r="P171" s="53"/>
    </row>
    <row r="172" spans="16:16" ht="13">
      <c r="P172" s="53"/>
    </row>
    <row r="173" spans="16:16" ht="13">
      <c r="P173" s="53"/>
    </row>
    <row r="174" spans="16:16" ht="13">
      <c r="P174" s="53"/>
    </row>
    <row r="175" spans="16:16" ht="13">
      <c r="P175" s="53"/>
    </row>
    <row r="176" spans="16:16" ht="13">
      <c r="P176" s="53"/>
    </row>
    <row r="177" spans="16:16" ht="13">
      <c r="P177" s="53"/>
    </row>
    <row r="178" spans="16:16" ht="13">
      <c r="P178" s="53"/>
    </row>
    <row r="179" spans="16:16" ht="13">
      <c r="P179" s="53"/>
    </row>
    <row r="180" spans="16:16" ht="13">
      <c r="P180" s="53"/>
    </row>
    <row r="181" spans="16:16" ht="13">
      <c r="P181" s="53"/>
    </row>
    <row r="182" spans="16:16" ht="13">
      <c r="P182" s="53"/>
    </row>
    <row r="183" spans="16:16" ht="13">
      <c r="P183" s="53"/>
    </row>
    <row r="184" spans="16:16" ht="13">
      <c r="P184" s="53"/>
    </row>
    <row r="185" spans="16:16" ht="13">
      <c r="P185" s="53"/>
    </row>
    <row r="186" spans="16:16" ht="13">
      <c r="P186" s="53"/>
    </row>
    <row r="187" spans="16:16" ht="13">
      <c r="P187" s="53"/>
    </row>
    <row r="188" spans="16:16" ht="13">
      <c r="P188" s="53"/>
    </row>
    <row r="189" spans="16:16" ht="13">
      <c r="P189" s="53"/>
    </row>
    <row r="190" spans="16:16" ht="13">
      <c r="P190" s="53"/>
    </row>
    <row r="191" spans="16:16" ht="13">
      <c r="P191" s="53"/>
    </row>
    <row r="192" spans="16:16" ht="13">
      <c r="P192" s="53"/>
    </row>
    <row r="193" spans="16:16" ht="13">
      <c r="P193" s="53"/>
    </row>
    <row r="194" spans="16:16" ht="13">
      <c r="P194" s="53"/>
    </row>
    <row r="195" spans="16:16" ht="13">
      <c r="P195" s="53"/>
    </row>
    <row r="196" spans="16:16" ht="13">
      <c r="P196" s="53"/>
    </row>
    <row r="197" spans="16:16" ht="13">
      <c r="P197" s="53"/>
    </row>
    <row r="198" spans="16:16" ht="13">
      <c r="P198" s="53"/>
    </row>
    <row r="199" spans="16:16" ht="13">
      <c r="P199" s="53"/>
    </row>
    <row r="200" spans="16:16" ht="13">
      <c r="P200" s="53"/>
    </row>
    <row r="201" spans="16:16" ht="13">
      <c r="P201" s="53"/>
    </row>
    <row r="202" spans="16:16" ht="13">
      <c r="P202" s="53"/>
    </row>
    <row r="203" spans="16:16" ht="13">
      <c r="P203" s="53"/>
    </row>
    <row r="204" spans="16:16" ht="13">
      <c r="P204" s="53"/>
    </row>
    <row r="205" spans="16:16" ht="13">
      <c r="P205" s="53"/>
    </row>
    <row r="206" spans="16:16" ht="13">
      <c r="P206" s="53"/>
    </row>
    <row r="207" spans="16:16" ht="13">
      <c r="P207" s="53"/>
    </row>
    <row r="208" spans="16:16" ht="13">
      <c r="P208" s="53"/>
    </row>
    <row r="209" spans="16:16" ht="13">
      <c r="P209" s="53"/>
    </row>
    <row r="210" spans="16:16" ht="13">
      <c r="P210" s="53"/>
    </row>
    <row r="211" spans="16:16" ht="13">
      <c r="P211" s="53"/>
    </row>
    <row r="212" spans="16:16" ht="13">
      <c r="P212" s="53"/>
    </row>
    <row r="213" spans="16:16" ht="13">
      <c r="P213" s="53"/>
    </row>
    <row r="214" spans="16:16" ht="13">
      <c r="P214" s="53"/>
    </row>
    <row r="215" spans="16:16" ht="13">
      <c r="P215" s="53"/>
    </row>
    <row r="216" spans="16:16" ht="13">
      <c r="P216" s="53"/>
    </row>
    <row r="217" spans="16:16" ht="13">
      <c r="P217" s="53"/>
    </row>
    <row r="218" spans="16:16" ht="13">
      <c r="P218" s="53"/>
    </row>
    <row r="219" spans="16:16" ht="13">
      <c r="P219" s="53"/>
    </row>
    <row r="220" spans="16:16" ht="13">
      <c r="P220" s="53"/>
    </row>
    <row r="221" spans="16:16" ht="13">
      <c r="P221" s="53"/>
    </row>
    <row r="222" spans="16:16" ht="13">
      <c r="P222" s="53"/>
    </row>
    <row r="223" spans="16:16" ht="13">
      <c r="P223" s="53"/>
    </row>
    <row r="224" spans="16:16" ht="13">
      <c r="P224" s="53"/>
    </row>
    <row r="225" spans="16:16" ht="13">
      <c r="P225" s="53"/>
    </row>
    <row r="226" spans="16:16" ht="13">
      <c r="P226" s="53"/>
    </row>
    <row r="227" spans="16:16" ht="13">
      <c r="P227" s="53"/>
    </row>
    <row r="228" spans="16:16" ht="13">
      <c r="P228" s="53"/>
    </row>
    <row r="229" spans="16:16" ht="13">
      <c r="P229" s="53"/>
    </row>
    <row r="230" spans="16:16" ht="13">
      <c r="P230" s="53"/>
    </row>
    <row r="231" spans="16:16" ht="13">
      <c r="P231" s="53"/>
    </row>
    <row r="232" spans="16:16" ht="13">
      <c r="P232" s="53"/>
    </row>
    <row r="233" spans="16:16" ht="13">
      <c r="P233" s="53"/>
    </row>
    <row r="234" spans="16:16" ht="13">
      <c r="P234" s="53"/>
    </row>
    <row r="235" spans="16:16" ht="13">
      <c r="P235" s="53"/>
    </row>
    <row r="236" spans="16:16" ht="13">
      <c r="P236" s="53"/>
    </row>
    <row r="237" spans="16:16" ht="13">
      <c r="P237" s="53"/>
    </row>
    <row r="238" spans="16:16" ht="13">
      <c r="P238" s="53"/>
    </row>
    <row r="239" spans="16:16" ht="13">
      <c r="P239" s="53"/>
    </row>
    <row r="240" spans="16:16" ht="13">
      <c r="P240" s="53"/>
    </row>
    <row r="241" spans="16:16" ht="13">
      <c r="P241" s="53"/>
    </row>
    <row r="242" spans="16:16" ht="13">
      <c r="P242" s="53"/>
    </row>
    <row r="243" spans="16:16" ht="13">
      <c r="P243" s="53"/>
    </row>
    <row r="244" spans="16:16" ht="13">
      <c r="P244" s="53"/>
    </row>
    <row r="245" spans="16:16" ht="13">
      <c r="P245" s="53"/>
    </row>
    <row r="246" spans="16:16" ht="13">
      <c r="P246" s="53"/>
    </row>
    <row r="247" spans="16:16" ht="13">
      <c r="P247" s="53"/>
    </row>
    <row r="248" spans="16:16" ht="13">
      <c r="P248" s="53"/>
    </row>
    <row r="249" spans="16:16" ht="13">
      <c r="P249" s="53"/>
    </row>
    <row r="250" spans="16:16" ht="13">
      <c r="P250" s="53"/>
    </row>
    <row r="251" spans="16:16" ht="13">
      <c r="P251" s="53"/>
    </row>
    <row r="252" spans="16:16" ht="13">
      <c r="P252" s="53"/>
    </row>
    <row r="253" spans="16:16" ht="13">
      <c r="P253" s="53"/>
    </row>
    <row r="254" spans="16:16" ht="13">
      <c r="P254" s="53"/>
    </row>
    <row r="255" spans="16:16" ht="13">
      <c r="P255" s="53"/>
    </row>
    <row r="256" spans="16:16" ht="13">
      <c r="P256" s="53"/>
    </row>
    <row r="257" spans="16:16" ht="13">
      <c r="P257" s="53"/>
    </row>
    <row r="258" spans="16:16" ht="13">
      <c r="P258" s="53"/>
    </row>
    <row r="259" spans="16:16" ht="13">
      <c r="P259" s="53"/>
    </row>
    <row r="260" spans="16:16" ht="13">
      <c r="P260" s="53"/>
    </row>
    <row r="261" spans="16:16" ht="13">
      <c r="P261" s="53"/>
    </row>
    <row r="262" spans="16:16" ht="13">
      <c r="P262" s="53"/>
    </row>
    <row r="263" spans="16:16" ht="13">
      <c r="P263" s="53"/>
    </row>
    <row r="264" spans="16:16" ht="13">
      <c r="P264" s="53"/>
    </row>
    <row r="265" spans="16:16" ht="13">
      <c r="P265" s="53"/>
    </row>
    <row r="266" spans="16:16" ht="13">
      <c r="P266" s="53"/>
    </row>
    <row r="267" spans="16:16" ht="13">
      <c r="P267" s="53"/>
    </row>
    <row r="268" spans="16:16" ht="13">
      <c r="P268" s="53"/>
    </row>
    <row r="269" spans="16:16" ht="13">
      <c r="P269" s="53"/>
    </row>
    <row r="270" spans="16:16" ht="13">
      <c r="P270" s="53"/>
    </row>
    <row r="271" spans="16:16" ht="13">
      <c r="P271" s="53"/>
    </row>
    <row r="272" spans="16:16" ht="13">
      <c r="P272" s="53"/>
    </row>
    <row r="273" spans="16:16" ht="13">
      <c r="P273" s="53"/>
    </row>
    <row r="274" spans="16:16" ht="13">
      <c r="P274" s="53"/>
    </row>
    <row r="275" spans="16:16" ht="13">
      <c r="P275" s="53"/>
    </row>
    <row r="276" spans="16:16" ht="13">
      <c r="P276" s="53"/>
    </row>
    <row r="277" spans="16:16" ht="13">
      <c r="P277" s="53"/>
    </row>
    <row r="278" spans="16:16" ht="13">
      <c r="P278" s="53"/>
    </row>
    <row r="279" spans="16:16" ht="13">
      <c r="P279" s="53"/>
    </row>
    <row r="280" spans="16:16" ht="13">
      <c r="P280" s="53"/>
    </row>
    <row r="281" spans="16:16" ht="13">
      <c r="P281" s="53"/>
    </row>
    <row r="282" spans="16:16" ht="13">
      <c r="P282" s="53"/>
    </row>
    <row r="283" spans="16:16" ht="13">
      <c r="P283" s="53"/>
    </row>
    <row r="284" spans="16:16" ht="13">
      <c r="P284" s="53"/>
    </row>
    <row r="285" spans="16:16" ht="13">
      <c r="P285" s="53"/>
    </row>
    <row r="286" spans="16:16" ht="13">
      <c r="P286" s="53"/>
    </row>
    <row r="287" spans="16:16" ht="13">
      <c r="P287" s="53"/>
    </row>
    <row r="288" spans="16:16" ht="13">
      <c r="P288" s="53"/>
    </row>
    <row r="289" spans="16:16" ht="13">
      <c r="P289" s="53"/>
    </row>
    <row r="290" spans="16:16" ht="13">
      <c r="P290" s="53"/>
    </row>
    <row r="291" spans="16:16" ht="13">
      <c r="P291" s="53"/>
    </row>
    <row r="292" spans="16:16" ht="13">
      <c r="P292" s="53"/>
    </row>
    <row r="293" spans="16:16" ht="13">
      <c r="P293" s="53"/>
    </row>
    <row r="294" spans="16:16" ht="13">
      <c r="P294" s="53"/>
    </row>
    <row r="295" spans="16:16" ht="13">
      <c r="P295" s="53"/>
    </row>
    <row r="296" spans="16:16" ht="13">
      <c r="P296" s="53"/>
    </row>
    <row r="297" spans="16:16" ht="13">
      <c r="P297" s="53"/>
    </row>
    <row r="298" spans="16:16" ht="13">
      <c r="P298" s="53"/>
    </row>
    <row r="299" spans="16:16" ht="13">
      <c r="P299" s="53"/>
    </row>
    <row r="300" spans="16:16" ht="13">
      <c r="P300" s="53"/>
    </row>
    <row r="301" spans="16:16" ht="13">
      <c r="P301" s="53"/>
    </row>
    <row r="302" spans="16:16" ht="13">
      <c r="P302" s="53"/>
    </row>
    <row r="303" spans="16:16" ht="13">
      <c r="P303" s="53"/>
    </row>
    <row r="304" spans="16:16" ht="13">
      <c r="P304" s="53"/>
    </row>
    <row r="305" spans="16:16" ht="13">
      <c r="P305" s="53"/>
    </row>
    <row r="306" spans="16:16" ht="13">
      <c r="P306" s="53"/>
    </row>
    <row r="307" spans="16:16" ht="13">
      <c r="P307" s="53"/>
    </row>
    <row r="308" spans="16:16" ht="13">
      <c r="P308" s="53"/>
    </row>
    <row r="309" spans="16:16" ht="13">
      <c r="P309" s="53"/>
    </row>
    <row r="310" spans="16:16" ht="13">
      <c r="P310" s="53"/>
    </row>
    <row r="311" spans="16:16" ht="13">
      <c r="P311" s="53"/>
    </row>
    <row r="312" spans="16:16" ht="13">
      <c r="P312" s="53"/>
    </row>
    <row r="313" spans="16:16" ht="13">
      <c r="P313" s="53"/>
    </row>
    <row r="314" spans="16:16" ht="13">
      <c r="P314" s="53"/>
    </row>
    <row r="315" spans="16:16" ht="13">
      <c r="P315" s="53"/>
    </row>
    <row r="316" spans="16:16" ht="13">
      <c r="P316" s="53"/>
    </row>
    <row r="317" spans="16:16" ht="13">
      <c r="P317" s="53"/>
    </row>
    <row r="318" spans="16:16" ht="13">
      <c r="P318" s="53"/>
    </row>
    <row r="319" spans="16:16" ht="13">
      <c r="P319" s="53"/>
    </row>
    <row r="320" spans="16:16" ht="13">
      <c r="P320" s="53"/>
    </row>
    <row r="321" spans="16:16" ht="13">
      <c r="P321" s="53"/>
    </row>
    <row r="322" spans="16:16" ht="13">
      <c r="P322" s="53"/>
    </row>
    <row r="323" spans="16:16" ht="13">
      <c r="P323" s="53"/>
    </row>
    <row r="324" spans="16:16" ht="13">
      <c r="P324" s="53"/>
    </row>
    <row r="325" spans="16:16" ht="13">
      <c r="P325" s="53"/>
    </row>
    <row r="326" spans="16:16" ht="13">
      <c r="P326" s="53"/>
    </row>
    <row r="327" spans="16:16" ht="13">
      <c r="P327" s="53"/>
    </row>
    <row r="328" spans="16:16" ht="13">
      <c r="P328" s="53"/>
    </row>
    <row r="329" spans="16:16" ht="13">
      <c r="P329" s="53"/>
    </row>
    <row r="330" spans="16:16" ht="13">
      <c r="P330" s="53"/>
    </row>
    <row r="331" spans="16:16" ht="13">
      <c r="P331" s="53"/>
    </row>
    <row r="332" spans="16:16" ht="13">
      <c r="P332" s="53"/>
    </row>
    <row r="333" spans="16:16" ht="13">
      <c r="P333" s="53"/>
    </row>
    <row r="334" spans="16:16" ht="13">
      <c r="P334" s="53"/>
    </row>
    <row r="335" spans="16:16" ht="13">
      <c r="P335" s="53"/>
    </row>
    <row r="336" spans="16:16" ht="13">
      <c r="P336" s="53"/>
    </row>
    <row r="337" spans="16:16" ht="13">
      <c r="P337" s="53"/>
    </row>
    <row r="338" spans="16:16" ht="13">
      <c r="P338" s="53"/>
    </row>
    <row r="339" spans="16:16" ht="13">
      <c r="P339" s="53"/>
    </row>
    <row r="340" spans="16:16" ht="13">
      <c r="P340" s="53"/>
    </row>
    <row r="341" spans="16:16" ht="13">
      <c r="P341" s="53"/>
    </row>
    <row r="342" spans="16:16" ht="13">
      <c r="P342" s="53"/>
    </row>
    <row r="343" spans="16:16" ht="13">
      <c r="P343" s="53"/>
    </row>
    <row r="344" spans="16:16" ht="13">
      <c r="P344" s="53"/>
    </row>
    <row r="345" spans="16:16" ht="13">
      <c r="P345" s="53"/>
    </row>
    <row r="346" spans="16:16" ht="13">
      <c r="P346" s="53"/>
    </row>
    <row r="347" spans="16:16" ht="13">
      <c r="P347" s="53"/>
    </row>
    <row r="348" spans="16:16" ht="13">
      <c r="P348" s="53"/>
    </row>
    <row r="349" spans="16:16" ht="13">
      <c r="P349" s="53"/>
    </row>
    <row r="350" spans="16:16" ht="13">
      <c r="P350" s="53"/>
    </row>
    <row r="351" spans="16:16" ht="13">
      <c r="P351" s="53"/>
    </row>
    <row r="352" spans="16:16" ht="13">
      <c r="P352" s="53"/>
    </row>
    <row r="353" spans="16:16" ht="13">
      <c r="P353" s="53"/>
    </row>
    <row r="354" spans="16:16" ht="13">
      <c r="P354" s="53"/>
    </row>
    <row r="355" spans="16:16" ht="13">
      <c r="P355" s="53"/>
    </row>
    <row r="356" spans="16:16" ht="13">
      <c r="P356" s="53"/>
    </row>
    <row r="357" spans="16:16" ht="13">
      <c r="P357" s="53"/>
    </row>
    <row r="358" spans="16:16" ht="13">
      <c r="P358" s="53"/>
    </row>
    <row r="359" spans="16:16" ht="13">
      <c r="P359" s="53"/>
    </row>
    <row r="360" spans="16:16" ht="13">
      <c r="P360" s="53"/>
    </row>
    <row r="361" spans="16:16" ht="13">
      <c r="P361" s="53"/>
    </row>
    <row r="362" spans="16:16" ht="13">
      <c r="P362" s="53"/>
    </row>
    <row r="363" spans="16:16" ht="13">
      <c r="P363" s="53"/>
    </row>
    <row r="364" spans="16:16" ht="13">
      <c r="P364" s="53"/>
    </row>
    <row r="365" spans="16:16" ht="13">
      <c r="P365" s="53"/>
    </row>
    <row r="366" spans="16:16" ht="13">
      <c r="P366" s="53"/>
    </row>
    <row r="367" spans="16:16" ht="13">
      <c r="P367" s="53"/>
    </row>
    <row r="368" spans="16:16" ht="13">
      <c r="P368" s="53"/>
    </row>
    <row r="369" spans="16:16" ht="13">
      <c r="P369" s="53"/>
    </row>
    <row r="370" spans="16:16" ht="13">
      <c r="P370" s="53"/>
    </row>
    <row r="371" spans="16:16" ht="13">
      <c r="P371" s="53"/>
    </row>
    <row r="372" spans="16:16" ht="13">
      <c r="P372" s="53"/>
    </row>
    <row r="373" spans="16:16" ht="13">
      <c r="P373" s="53"/>
    </row>
    <row r="374" spans="16:16" ht="13">
      <c r="P374" s="53"/>
    </row>
    <row r="375" spans="16:16" ht="13">
      <c r="P375" s="53"/>
    </row>
    <row r="376" spans="16:16" ht="13">
      <c r="P376" s="53"/>
    </row>
    <row r="377" spans="16:16" ht="13">
      <c r="P377" s="53"/>
    </row>
    <row r="378" spans="16:16" ht="13">
      <c r="P378" s="53"/>
    </row>
    <row r="379" spans="16:16" ht="13">
      <c r="P379" s="53"/>
    </row>
    <row r="380" spans="16:16" ht="13">
      <c r="P380" s="53"/>
    </row>
    <row r="381" spans="16:16" ht="13">
      <c r="P381" s="53"/>
    </row>
    <row r="382" spans="16:16" ht="13">
      <c r="P382" s="53"/>
    </row>
    <row r="383" spans="16:16" ht="13">
      <c r="P383" s="53"/>
    </row>
    <row r="384" spans="16:16" ht="13">
      <c r="P384" s="53"/>
    </row>
    <row r="385" spans="16:16" ht="13">
      <c r="P385" s="53"/>
    </row>
    <row r="386" spans="16:16" ht="13">
      <c r="P386" s="53"/>
    </row>
    <row r="387" spans="16:16" ht="13">
      <c r="P387" s="53"/>
    </row>
    <row r="388" spans="16:16" ht="13">
      <c r="P388" s="53"/>
    </row>
    <row r="389" spans="16:16" ht="13">
      <c r="P389" s="53"/>
    </row>
    <row r="390" spans="16:16" ht="13">
      <c r="P390" s="53"/>
    </row>
    <row r="391" spans="16:16" ht="13">
      <c r="P391" s="53"/>
    </row>
    <row r="392" spans="16:16" ht="13">
      <c r="P392" s="53"/>
    </row>
    <row r="393" spans="16:16" ht="13">
      <c r="P393" s="53"/>
    </row>
    <row r="394" spans="16:16" ht="13">
      <c r="P394" s="53"/>
    </row>
    <row r="395" spans="16:16" ht="13">
      <c r="P395" s="53"/>
    </row>
    <row r="396" spans="16:16" ht="13">
      <c r="P396" s="53"/>
    </row>
    <row r="397" spans="16:16" ht="13">
      <c r="P397" s="53"/>
    </row>
    <row r="398" spans="16:16" ht="13">
      <c r="P398" s="53"/>
    </row>
    <row r="399" spans="16:16" ht="13">
      <c r="P399" s="53"/>
    </row>
    <row r="400" spans="16:16" ht="13">
      <c r="P400" s="53"/>
    </row>
    <row r="401" spans="16:16" ht="13">
      <c r="P401" s="53"/>
    </row>
    <row r="402" spans="16:16" ht="13">
      <c r="P402" s="53"/>
    </row>
    <row r="403" spans="16:16" ht="13">
      <c r="P403" s="53"/>
    </row>
    <row r="404" spans="16:16" ht="13">
      <c r="P404" s="53"/>
    </row>
    <row r="405" spans="16:16" ht="13">
      <c r="P405" s="53"/>
    </row>
    <row r="406" spans="16:16" ht="13">
      <c r="P406" s="53"/>
    </row>
    <row r="407" spans="16:16" ht="13">
      <c r="P407" s="53"/>
    </row>
    <row r="408" spans="16:16" ht="13">
      <c r="P408" s="53"/>
    </row>
    <row r="409" spans="16:16" ht="13">
      <c r="P409" s="53"/>
    </row>
    <row r="410" spans="16:16" ht="13">
      <c r="P410" s="53"/>
    </row>
    <row r="411" spans="16:16" ht="13">
      <c r="P411" s="53"/>
    </row>
    <row r="412" spans="16:16" ht="13">
      <c r="P412" s="53"/>
    </row>
    <row r="413" spans="16:16" ht="13">
      <c r="P413" s="53"/>
    </row>
    <row r="414" spans="16:16" ht="13">
      <c r="P414" s="53"/>
    </row>
    <row r="415" spans="16:16" ht="13">
      <c r="P415" s="53"/>
    </row>
    <row r="416" spans="16:16" ht="13">
      <c r="P416" s="53"/>
    </row>
    <row r="417" spans="16:16" ht="13">
      <c r="P417" s="53"/>
    </row>
    <row r="418" spans="16:16" ht="13">
      <c r="P418" s="53"/>
    </row>
    <row r="419" spans="16:16" ht="13">
      <c r="P419" s="53"/>
    </row>
    <row r="420" spans="16:16" ht="13">
      <c r="P420" s="53"/>
    </row>
    <row r="421" spans="16:16" ht="13">
      <c r="P421" s="53"/>
    </row>
    <row r="422" spans="16:16" ht="13">
      <c r="P422" s="53"/>
    </row>
    <row r="423" spans="16:16" ht="13">
      <c r="P423" s="53"/>
    </row>
    <row r="424" spans="16:16" ht="13">
      <c r="P424" s="53"/>
    </row>
    <row r="425" spans="16:16" ht="13">
      <c r="P425" s="53"/>
    </row>
    <row r="426" spans="16:16" ht="13">
      <c r="P426" s="53"/>
    </row>
    <row r="427" spans="16:16" ht="13">
      <c r="P427" s="53"/>
    </row>
    <row r="428" spans="16:16" ht="13">
      <c r="P428" s="53"/>
    </row>
    <row r="429" spans="16:16" ht="13">
      <c r="P429" s="53"/>
    </row>
    <row r="430" spans="16:16" ht="13">
      <c r="P430" s="53"/>
    </row>
    <row r="431" spans="16:16" ht="13">
      <c r="P431" s="53"/>
    </row>
    <row r="432" spans="16:16" ht="13">
      <c r="P432" s="53"/>
    </row>
    <row r="433" spans="16:16" ht="13">
      <c r="P433" s="53"/>
    </row>
    <row r="434" spans="16:16" ht="13">
      <c r="P434" s="53"/>
    </row>
    <row r="435" spans="16:16" ht="13">
      <c r="P435" s="53"/>
    </row>
    <row r="436" spans="16:16" ht="13">
      <c r="P436" s="53"/>
    </row>
    <row r="437" spans="16:16" ht="13">
      <c r="P437" s="53"/>
    </row>
    <row r="438" spans="16:16" ht="13">
      <c r="P438" s="53"/>
    </row>
    <row r="439" spans="16:16" ht="13">
      <c r="P439" s="53"/>
    </row>
    <row r="440" spans="16:16" ht="13">
      <c r="P440" s="53"/>
    </row>
    <row r="441" spans="16:16" ht="13">
      <c r="P441" s="53"/>
    </row>
    <row r="442" spans="16:16" ht="13">
      <c r="P442" s="53"/>
    </row>
    <row r="443" spans="16:16" ht="13">
      <c r="P443" s="53"/>
    </row>
    <row r="444" spans="16:16" ht="13">
      <c r="P444" s="53"/>
    </row>
    <row r="445" spans="16:16" ht="13">
      <c r="P445" s="53"/>
    </row>
    <row r="446" spans="16:16" ht="13">
      <c r="P446" s="53"/>
    </row>
    <row r="447" spans="16:16" ht="13">
      <c r="P447" s="53"/>
    </row>
    <row r="448" spans="16:16" ht="13">
      <c r="P448" s="53"/>
    </row>
    <row r="449" spans="16:16" ht="13">
      <c r="P449" s="53"/>
    </row>
    <row r="450" spans="16:16" ht="13">
      <c r="P450" s="53"/>
    </row>
    <row r="451" spans="16:16" ht="13">
      <c r="P451" s="53"/>
    </row>
    <row r="452" spans="16:16" ht="13">
      <c r="P452" s="53"/>
    </row>
    <row r="453" spans="16:16" ht="13">
      <c r="P453" s="53"/>
    </row>
    <row r="454" spans="16:16" ht="13">
      <c r="P454" s="53"/>
    </row>
    <row r="455" spans="16:16" ht="13">
      <c r="P455" s="53"/>
    </row>
    <row r="456" spans="16:16" ht="13">
      <c r="P456" s="53"/>
    </row>
    <row r="457" spans="16:16" ht="13">
      <c r="P457" s="53"/>
    </row>
    <row r="458" spans="16:16" ht="13">
      <c r="P458" s="53"/>
    </row>
    <row r="459" spans="16:16" ht="13">
      <c r="P459" s="53"/>
    </row>
    <row r="460" spans="16:16" ht="13">
      <c r="P460" s="53"/>
    </row>
    <row r="461" spans="16:16" ht="13">
      <c r="P461" s="53"/>
    </row>
    <row r="462" spans="16:16" ht="13">
      <c r="P462" s="53"/>
    </row>
    <row r="463" spans="16:16" ht="13">
      <c r="P463" s="53"/>
    </row>
    <row r="464" spans="16:16" ht="13">
      <c r="P464" s="53"/>
    </row>
    <row r="465" spans="16:16" ht="13">
      <c r="P465" s="53"/>
    </row>
    <row r="466" spans="16:16" ht="13">
      <c r="P466" s="53"/>
    </row>
    <row r="467" spans="16:16" ht="13">
      <c r="P467" s="53"/>
    </row>
    <row r="468" spans="16:16" ht="13">
      <c r="P468" s="53"/>
    </row>
    <row r="469" spans="16:16" ht="13">
      <c r="P469" s="53"/>
    </row>
    <row r="470" spans="16:16" ht="13">
      <c r="P470" s="53"/>
    </row>
    <row r="471" spans="16:16" ht="13">
      <c r="P471" s="53"/>
    </row>
    <row r="472" spans="16:16" ht="13">
      <c r="P472" s="53"/>
    </row>
    <row r="473" spans="16:16" ht="13">
      <c r="P473" s="53"/>
    </row>
    <row r="474" spans="16:16" ht="13">
      <c r="P474" s="53"/>
    </row>
    <row r="475" spans="16:16" ht="13">
      <c r="P475" s="53"/>
    </row>
    <row r="476" spans="16:16" ht="13">
      <c r="P476" s="53"/>
    </row>
    <row r="477" spans="16:16" ht="13">
      <c r="P477" s="53"/>
    </row>
    <row r="478" spans="16:16" ht="13">
      <c r="P478" s="53"/>
    </row>
    <row r="479" spans="16:16" ht="13">
      <c r="P479" s="53"/>
    </row>
    <row r="480" spans="16:16" ht="13">
      <c r="P480" s="53"/>
    </row>
    <row r="481" spans="16:16" ht="13">
      <c r="P481" s="53"/>
    </row>
    <row r="482" spans="16:16" ht="13">
      <c r="P482" s="53"/>
    </row>
    <row r="483" spans="16:16" ht="13">
      <c r="P483" s="53"/>
    </row>
    <row r="484" spans="16:16" ht="13">
      <c r="P484" s="53"/>
    </row>
    <row r="485" spans="16:16" ht="13">
      <c r="P485" s="53"/>
    </row>
    <row r="486" spans="16:16" ht="13">
      <c r="P486" s="53"/>
    </row>
    <row r="487" spans="16:16" ht="13">
      <c r="P487" s="53"/>
    </row>
    <row r="488" spans="16:16" ht="13">
      <c r="P488" s="53"/>
    </row>
    <row r="489" spans="16:16" ht="13">
      <c r="P489" s="53"/>
    </row>
    <row r="490" spans="16:16" ht="13">
      <c r="P490" s="53"/>
    </row>
    <row r="491" spans="16:16" ht="13">
      <c r="P491" s="53"/>
    </row>
    <row r="492" spans="16:16" ht="13">
      <c r="P492" s="53"/>
    </row>
    <row r="493" spans="16:16" ht="13">
      <c r="P493" s="53"/>
    </row>
    <row r="494" spans="16:16" ht="13">
      <c r="P494" s="53"/>
    </row>
    <row r="495" spans="16:16" ht="13">
      <c r="P495" s="53"/>
    </row>
    <row r="496" spans="16:16" ht="13">
      <c r="P496" s="53"/>
    </row>
    <row r="497" spans="16:16" ht="13">
      <c r="P497" s="53"/>
    </row>
    <row r="498" spans="16:16" ht="13">
      <c r="P498" s="53"/>
    </row>
    <row r="499" spans="16:16" ht="13">
      <c r="P499" s="53"/>
    </row>
    <row r="500" spans="16:16" ht="13">
      <c r="P500" s="53"/>
    </row>
    <row r="501" spans="16:16" ht="13">
      <c r="P501" s="53"/>
    </row>
    <row r="502" spans="16:16" ht="13">
      <c r="P502" s="53"/>
    </row>
    <row r="503" spans="16:16" ht="13">
      <c r="P503" s="53"/>
    </row>
    <row r="504" spans="16:16" ht="13">
      <c r="P504" s="53"/>
    </row>
    <row r="505" spans="16:16" ht="13">
      <c r="P505" s="53"/>
    </row>
    <row r="506" spans="16:16" ht="13">
      <c r="P506" s="53"/>
    </row>
    <row r="507" spans="16:16" ht="13">
      <c r="P507" s="53"/>
    </row>
    <row r="508" spans="16:16" ht="13">
      <c r="P508" s="53"/>
    </row>
    <row r="509" spans="16:16" ht="13">
      <c r="P509" s="53"/>
    </row>
    <row r="510" spans="16:16" ht="13">
      <c r="P510" s="53"/>
    </row>
    <row r="511" spans="16:16" ht="13">
      <c r="P511" s="53"/>
    </row>
    <row r="512" spans="16:16" ht="13">
      <c r="P512" s="53"/>
    </row>
    <row r="513" spans="16:16" ht="13">
      <c r="P513" s="53"/>
    </row>
    <row r="514" spans="16:16" ht="13">
      <c r="P514" s="53"/>
    </row>
    <row r="515" spans="16:16" ht="13">
      <c r="P515" s="53"/>
    </row>
    <row r="516" spans="16:16" ht="13">
      <c r="P516" s="53"/>
    </row>
    <row r="517" spans="16:16" ht="13">
      <c r="P517" s="53"/>
    </row>
    <row r="518" spans="16:16" ht="13">
      <c r="P518" s="53"/>
    </row>
    <row r="519" spans="16:16" ht="13">
      <c r="P519" s="53"/>
    </row>
    <row r="520" spans="16:16" ht="13">
      <c r="P520" s="53"/>
    </row>
    <row r="521" spans="16:16" ht="13">
      <c r="P521" s="53"/>
    </row>
    <row r="522" spans="16:16" ht="13">
      <c r="P522" s="53"/>
    </row>
    <row r="523" spans="16:16" ht="13">
      <c r="P523" s="53"/>
    </row>
    <row r="524" spans="16:16" ht="13">
      <c r="P524" s="53"/>
    </row>
    <row r="525" spans="16:16" ht="13">
      <c r="P525" s="53"/>
    </row>
    <row r="526" spans="16:16" ht="13">
      <c r="P526" s="53"/>
    </row>
    <row r="527" spans="16:16" ht="13">
      <c r="P527" s="53"/>
    </row>
    <row r="528" spans="16:16" ht="13">
      <c r="P528" s="53"/>
    </row>
    <row r="529" spans="16:16" ht="13">
      <c r="P529" s="53"/>
    </row>
    <row r="530" spans="16:16" ht="13">
      <c r="P530" s="53"/>
    </row>
    <row r="531" spans="16:16" ht="13">
      <c r="P531" s="53"/>
    </row>
    <row r="532" spans="16:16" ht="13">
      <c r="P532" s="53"/>
    </row>
    <row r="533" spans="16:16" ht="13">
      <c r="P533" s="53"/>
    </row>
    <row r="534" spans="16:16" ht="13">
      <c r="P534" s="53"/>
    </row>
    <row r="535" spans="16:16" ht="13">
      <c r="P535" s="53"/>
    </row>
    <row r="536" spans="16:16" ht="13">
      <c r="P536" s="53"/>
    </row>
    <row r="537" spans="16:16" ht="13">
      <c r="P537" s="53"/>
    </row>
    <row r="538" spans="16:16" ht="13">
      <c r="P538" s="53"/>
    </row>
    <row r="539" spans="16:16" ht="13">
      <c r="P539" s="53"/>
    </row>
    <row r="540" spans="16:16" ht="13">
      <c r="P540" s="53"/>
    </row>
    <row r="541" spans="16:16" ht="13">
      <c r="P541" s="53"/>
    </row>
    <row r="542" spans="16:16" ht="13">
      <c r="P542" s="53"/>
    </row>
    <row r="543" spans="16:16" ht="13">
      <c r="P543" s="53"/>
    </row>
    <row r="544" spans="16:16" ht="13">
      <c r="P544" s="53"/>
    </row>
    <row r="545" spans="16:16" ht="13">
      <c r="P545" s="53"/>
    </row>
    <row r="546" spans="16:16" ht="13">
      <c r="P546" s="53"/>
    </row>
    <row r="547" spans="16:16" ht="13">
      <c r="P547" s="53"/>
    </row>
    <row r="548" spans="16:16" ht="13">
      <c r="P548" s="53"/>
    </row>
    <row r="549" spans="16:16" ht="13">
      <c r="P549" s="53"/>
    </row>
    <row r="550" spans="16:16" ht="13">
      <c r="P550" s="53"/>
    </row>
    <row r="551" spans="16:16" ht="13">
      <c r="P551" s="53"/>
    </row>
    <row r="552" spans="16:16" ht="13">
      <c r="P552" s="53"/>
    </row>
    <row r="553" spans="16:16" ht="13">
      <c r="P553" s="53"/>
    </row>
    <row r="554" spans="16:16" ht="13">
      <c r="P554" s="53"/>
    </row>
    <row r="555" spans="16:16" ht="13">
      <c r="P555" s="53"/>
    </row>
    <row r="556" spans="16:16" ht="13">
      <c r="P556" s="53"/>
    </row>
    <row r="557" spans="16:16" ht="13">
      <c r="P557" s="53"/>
    </row>
    <row r="558" spans="16:16" ht="13">
      <c r="P558" s="53"/>
    </row>
    <row r="559" spans="16:16" ht="13">
      <c r="P559" s="53"/>
    </row>
    <row r="560" spans="16:16" ht="13">
      <c r="P560" s="53"/>
    </row>
    <row r="561" spans="16:16" ht="13">
      <c r="P561" s="53"/>
    </row>
    <row r="562" spans="16:16" ht="13">
      <c r="P562" s="53"/>
    </row>
    <row r="563" spans="16:16" ht="13">
      <c r="P563" s="53"/>
    </row>
    <row r="564" spans="16:16" ht="13">
      <c r="P564" s="53"/>
    </row>
    <row r="565" spans="16:16" ht="13">
      <c r="P565" s="53"/>
    </row>
    <row r="566" spans="16:16" ht="13">
      <c r="P566" s="53"/>
    </row>
    <row r="567" spans="16:16" ht="13">
      <c r="P567" s="53"/>
    </row>
    <row r="568" spans="16:16" ht="13">
      <c r="P568" s="53"/>
    </row>
    <row r="569" spans="16:16" ht="13">
      <c r="P569" s="53"/>
    </row>
    <row r="570" spans="16:16" ht="13">
      <c r="P570" s="53"/>
    </row>
    <row r="571" spans="16:16" ht="13">
      <c r="P571" s="53"/>
    </row>
    <row r="572" spans="16:16" ht="13">
      <c r="P572" s="53"/>
    </row>
    <row r="573" spans="16:16" ht="13">
      <c r="P573" s="53"/>
    </row>
    <row r="574" spans="16:16" ht="13">
      <c r="P574" s="53"/>
    </row>
    <row r="575" spans="16:16" ht="13">
      <c r="P575" s="53"/>
    </row>
    <row r="576" spans="16:16" ht="13">
      <c r="P576" s="53"/>
    </row>
    <row r="577" spans="16:16" ht="13">
      <c r="P577" s="53"/>
    </row>
    <row r="578" spans="16:16" ht="13">
      <c r="P578" s="53"/>
    </row>
    <row r="579" spans="16:16" ht="13">
      <c r="P579" s="53"/>
    </row>
    <row r="580" spans="16:16" ht="13">
      <c r="P580" s="53"/>
    </row>
    <row r="581" spans="16:16" ht="13">
      <c r="P581" s="53"/>
    </row>
    <row r="582" spans="16:16" ht="13">
      <c r="P582" s="53"/>
    </row>
    <row r="583" spans="16:16" ht="13">
      <c r="P583" s="53"/>
    </row>
    <row r="584" spans="16:16" ht="13">
      <c r="P584" s="53"/>
    </row>
    <row r="585" spans="16:16" ht="13">
      <c r="P585" s="53"/>
    </row>
    <row r="586" spans="16:16" ht="13">
      <c r="P586" s="53"/>
    </row>
    <row r="587" spans="16:16" ht="13">
      <c r="P587" s="53"/>
    </row>
    <row r="588" spans="16:16" ht="13">
      <c r="P588" s="53"/>
    </row>
    <row r="589" spans="16:16" ht="13">
      <c r="P589" s="53"/>
    </row>
    <row r="590" spans="16:16" ht="13">
      <c r="P590" s="53"/>
    </row>
    <row r="591" spans="16:16" ht="13">
      <c r="P591" s="53"/>
    </row>
    <row r="592" spans="16:16" ht="13">
      <c r="P592" s="53"/>
    </row>
    <row r="593" spans="16:16" ht="13">
      <c r="P593" s="53"/>
    </row>
    <row r="594" spans="16:16" ht="13">
      <c r="P594" s="53"/>
    </row>
    <row r="595" spans="16:16" ht="13">
      <c r="P595" s="53"/>
    </row>
    <row r="596" spans="16:16" ht="13">
      <c r="P596" s="53"/>
    </row>
    <row r="597" spans="16:16" ht="13">
      <c r="P597" s="53"/>
    </row>
    <row r="598" spans="16:16" ht="13">
      <c r="P598" s="53"/>
    </row>
    <row r="599" spans="16:16" ht="13">
      <c r="P599" s="53"/>
    </row>
    <row r="600" spans="16:16" ht="13">
      <c r="P600" s="53"/>
    </row>
    <row r="601" spans="16:16" ht="13">
      <c r="P601" s="53"/>
    </row>
    <row r="602" spans="16:16" ht="13">
      <c r="P602" s="53"/>
    </row>
    <row r="603" spans="16:16" ht="13">
      <c r="P603" s="53"/>
    </row>
    <row r="604" spans="16:16" ht="13">
      <c r="P604" s="53"/>
    </row>
    <row r="605" spans="16:16" ht="13">
      <c r="P605" s="53"/>
    </row>
    <row r="606" spans="16:16" ht="13">
      <c r="P606" s="53"/>
    </row>
    <row r="607" spans="16:16" ht="13">
      <c r="P607" s="53"/>
    </row>
    <row r="608" spans="16:16" ht="13">
      <c r="P608" s="53"/>
    </row>
    <row r="609" spans="16:16" ht="13">
      <c r="P609" s="53"/>
    </row>
    <row r="610" spans="16:16" ht="13">
      <c r="P610" s="53"/>
    </row>
    <row r="611" spans="16:16" ht="13">
      <c r="P611" s="53"/>
    </row>
    <row r="612" spans="16:16" ht="13">
      <c r="P612" s="53"/>
    </row>
    <row r="613" spans="16:16" ht="13">
      <c r="P613" s="53"/>
    </row>
    <row r="614" spans="16:16" ht="13">
      <c r="P614" s="53"/>
    </row>
    <row r="615" spans="16:16" ht="13">
      <c r="P615" s="53"/>
    </row>
    <row r="616" spans="16:16" ht="13">
      <c r="P616" s="53"/>
    </row>
    <row r="617" spans="16:16" ht="13">
      <c r="P617" s="53"/>
    </row>
    <row r="618" spans="16:16" ht="13">
      <c r="P618" s="53"/>
    </row>
    <row r="619" spans="16:16" ht="13">
      <c r="P619" s="53"/>
    </row>
    <row r="620" spans="16:16" ht="13">
      <c r="P620" s="53"/>
    </row>
    <row r="621" spans="16:16" ht="13">
      <c r="P621" s="53"/>
    </row>
    <row r="622" spans="16:16" ht="13">
      <c r="P622" s="53"/>
    </row>
    <row r="623" spans="16:16" ht="13">
      <c r="P623" s="53"/>
    </row>
    <row r="624" spans="16:16" ht="13">
      <c r="P624" s="53"/>
    </row>
    <row r="625" spans="16:16" ht="13">
      <c r="P625" s="53"/>
    </row>
    <row r="626" spans="16:16" ht="13">
      <c r="P626" s="53"/>
    </row>
    <row r="627" spans="16:16" ht="13">
      <c r="P627" s="53"/>
    </row>
    <row r="628" spans="16:16" ht="13">
      <c r="P628" s="53"/>
    </row>
    <row r="629" spans="16:16" ht="13">
      <c r="P629" s="53"/>
    </row>
    <row r="630" spans="16:16" ht="13">
      <c r="P630" s="53"/>
    </row>
    <row r="631" spans="16:16" ht="13">
      <c r="P631" s="53"/>
    </row>
    <row r="632" spans="16:16" ht="13">
      <c r="P632" s="53"/>
    </row>
    <row r="633" spans="16:16" ht="13">
      <c r="P633" s="53"/>
    </row>
    <row r="634" spans="16:16" ht="13">
      <c r="P634" s="53"/>
    </row>
    <row r="635" spans="16:16" ht="13">
      <c r="P635" s="53"/>
    </row>
    <row r="636" spans="16:16" ht="13">
      <c r="P636" s="53"/>
    </row>
    <row r="637" spans="16:16" ht="13">
      <c r="P637" s="53"/>
    </row>
    <row r="638" spans="16:16" ht="13">
      <c r="P638" s="53"/>
    </row>
    <row r="639" spans="16:16" ht="13">
      <c r="P639" s="53"/>
    </row>
    <row r="640" spans="16:16" ht="13">
      <c r="P640" s="53"/>
    </row>
    <row r="641" spans="16:16" ht="13">
      <c r="P641" s="53"/>
    </row>
    <row r="642" spans="16:16" ht="13">
      <c r="P642" s="53"/>
    </row>
    <row r="643" spans="16:16" ht="13">
      <c r="P643" s="53"/>
    </row>
    <row r="644" spans="16:16" ht="13">
      <c r="P644" s="53"/>
    </row>
    <row r="645" spans="16:16" ht="13">
      <c r="P645" s="53"/>
    </row>
    <row r="646" spans="16:16" ht="13">
      <c r="P646" s="53"/>
    </row>
    <row r="647" spans="16:16" ht="13">
      <c r="P647" s="53"/>
    </row>
    <row r="648" spans="16:16" ht="13">
      <c r="P648" s="53"/>
    </row>
    <row r="649" spans="16:16" ht="13">
      <c r="P649" s="53"/>
    </row>
    <row r="650" spans="16:16" ht="13">
      <c r="P650" s="53"/>
    </row>
    <row r="651" spans="16:16" ht="13">
      <c r="P651" s="53"/>
    </row>
    <row r="652" spans="16:16" ht="13">
      <c r="P652" s="53"/>
    </row>
    <row r="653" spans="16:16" ht="13">
      <c r="P653" s="53"/>
    </row>
    <row r="654" spans="16:16" ht="13">
      <c r="P654" s="53"/>
    </row>
    <row r="655" spans="16:16" ht="13">
      <c r="P655" s="53"/>
    </row>
    <row r="656" spans="16:16" ht="13">
      <c r="P656" s="53"/>
    </row>
    <row r="657" spans="16:16" ht="13">
      <c r="P657" s="53"/>
    </row>
    <row r="658" spans="16:16" ht="13">
      <c r="P658" s="53"/>
    </row>
    <row r="659" spans="16:16" ht="13">
      <c r="P659" s="53"/>
    </row>
    <row r="660" spans="16:16" ht="13">
      <c r="P660" s="53"/>
    </row>
    <row r="661" spans="16:16" ht="13">
      <c r="P661" s="53"/>
    </row>
    <row r="662" spans="16:16" ht="13">
      <c r="P662" s="53"/>
    </row>
    <row r="663" spans="16:16" ht="13">
      <c r="P663" s="53"/>
    </row>
    <row r="664" spans="16:16" ht="13">
      <c r="P664" s="53"/>
    </row>
    <row r="665" spans="16:16" ht="13">
      <c r="P665" s="53"/>
    </row>
    <row r="666" spans="16:16" ht="13">
      <c r="P666" s="53"/>
    </row>
    <row r="667" spans="16:16" ht="13">
      <c r="P667" s="53"/>
    </row>
    <row r="668" spans="16:16" ht="13">
      <c r="P668" s="53"/>
    </row>
    <row r="669" spans="16:16" ht="13">
      <c r="P669" s="53"/>
    </row>
    <row r="670" spans="16:16" ht="13">
      <c r="P670" s="53"/>
    </row>
    <row r="671" spans="16:16" ht="13">
      <c r="P671" s="53"/>
    </row>
    <row r="672" spans="16:16" ht="13">
      <c r="P672" s="53"/>
    </row>
    <row r="673" spans="16:16" ht="13">
      <c r="P673" s="53"/>
    </row>
    <row r="674" spans="16:16" ht="13">
      <c r="P674" s="53"/>
    </row>
    <row r="675" spans="16:16" ht="13">
      <c r="P675" s="53"/>
    </row>
    <row r="676" spans="16:16" ht="13">
      <c r="P676" s="53"/>
    </row>
    <row r="677" spans="16:16" ht="13">
      <c r="P677" s="53"/>
    </row>
    <row r="678" spans="16:16" ht="13">
      <c r="P678" s="53"/>
    </row>
    <row r="679" spans="16:16" ht="13">
      <c r="P679" s="53"/>
    </row>
    <row r="680" spans="16:16" ht="13">
      <c r="P680" s="53"/>
    </row>
    <row r="681" spans="16:16" ht="13">
      <c r="P681" s="53"/>
    </row>
    <row r="682" spans="16:16" ht="13">
      <c r="P682" s="53"/>
    </row>
    <row r="683" spans="16:16" ht="13">
      <c r="P683" s="53"/>
    </row>
    <row r="684" spans="16:16" ht="13">
      <c r="P684" s="53"/>
    </row>
    <row r="685" spans="16:16" ht="13">
      <c r="P685" s="53"/>
    </row>
    <row r="686" spans="16:16" ht="13">
      <c r="P686" s="53"/>
    </row>
    <row r="687" spans="16:16" ht="13">
      <c r="P687" s="53"/>
    </row>
    <row r="688" spans="16:16" ht="13">
      <c r="P688" s="53"/>
    </row>
    <row r="689" spans="16:16" ht="13">
      <c r="P689" s="53"/>
    </row>
    <row r="690" spans="16:16" ht="13">
      <c r="P690" s="53"/>
    </row>
    <row r="691" spans="16:16" ht="13">
      <c r="P691" s="53"/>
    </row>
    <row r="692" spans="16:16" ht="13">
      <c r="P692" s="53"/>
    </row>
    <row r="693" spans="16:16" ht="13">
      <c r="P693" s="53"/>
    </row>
    <row r="694" spans="16:16" ht="13">
      <c r="P694" s="53"/>
    </row>
    <row r="695" spans="16:16" ht="13">
      <c r="P695" s="53"/>
    </row>
    <row r="696" spans="16:16" ht="13">
      <c r="P696" s="53"/>
    </row>
    <row r="697" spans="16:16" ht="13">
      <c r="P697" s="53"/>
    </row>
    <row r="698" spans="16:16" ht="13">
      <c r="P698" s="53"/>
    </row>
    <row r="699" spans="16:16" ht="13">
      <c r="P699" s="53"/>
    </row>
    <row r="700" spans="16:16" ht="13">
      <c r="P700" s="53"/>
    </row>
    <row r="701" spans="16:16" ht="13">
      <c r="P701" s="53"/>
    </row>
    <row r="702" spans="16:16" ht="13">
      <c r="P702" s="53"/>
    </row>
    <row r="703" spans="16:16" ht="13">
      <c r="P703" s="53"/>
    </row>
    <row r="704" spans="16:16" ht="13">
      <c r="P704" s="53"/>
    </row>
    <row r="705" spans="16:16" ht="13">
      <c r="P705" s="53"/>
    </row>
    <row r="706" spans="16:16" ht="13">
      <c r="P706" s="53"/>
    </row>
    <row r="707" spans="16:16" ht="13">
      <c r="P707" s="53"/>
    </row>
    <row r="708" spans="16:16" ht="13">
      <c r="P708" s="53"/>
    </row>
    <row r="709" spans="16:16" ht="13">
      <c r="P709" s="53"/>
    </row>
    <row r="710" spans="16:16" ht="13">
      <c r="P710" s="53"/>
    </row>
    <row r="711" spans="16:16" ht="13">
      <c r="P711" s="53"/>
    </row>
    <row r="712" spans="16:16" ht="13">
      <c r="P712" s="53"/>
    </row>
    <row r="713" spans="16:16" ht="13">
      <c r="P713" s="53"/>
    </row>
    <row r="714" spans="16:16" ht="13">
      <c r="P714" s="53"/>
    </row>
    <row r="715" spans="16:16" ht="13">
      <c r="P715" s="53"/>
    </row>
    <row r="716" spans="16:16" ht="13">
      <c r="P716" s="53"/>
    </row>
    <row r="717" spans="16:16" ht="13">
      <c r="P717" s="53"/>
    </row>
    <row r="718" spans="16:16" ht="13">
      <c r="P718" s="53"/>
    </row>
    <row r="719" spans="16:16" ht="13">
      <c r="P719" s="53"/>
    </row>
    <row r="720" spans="16:16" ht="13">
      <c r="P720" s="53"/>
    </row>
    <row r="721" spans="16:16" ht="13">
      <c r="P721" s="53"/>
    </row>
    <row r="722" spans="16:16" ht="13">
      <c r="P722" s="53"/>
    </row>
    <row r="723" spans="16:16" ht="13">
      <c r="P723" s="53"/>
    </row>
    <row r="724" spans="16:16" ht="13">
      <c r="P724" s="53"/>
    </row>
    <row r="725" spans="16:16" ht="13">
      <c r="P725" s="53"/>
    </row>
    <row r="726" spans="16:16" ht="13">
      <c r="P726" s="53"/>
    </row>
    <row r="727" spans="16:16" ht="13">
      <c r="P727" s="53"/>
    </row>
    <row r="728" spans="16:16" ht="13">
      <c r="P728" s="53"/>
    </row>
    <row r="729" spans="16:16" ht="13">
      <c r="P729" s="53"/>
    </row>
    <row r="730" spans="16:16" ht="13">
      <c r="P730" s="53"/>
    </row>
    <row r="731" spans="16:16" ht="13">
      <c r="P731" s="53"/>
    </row>
    <row r="732" spans="16:16" ht="13">
      <c r="P732" s="53"/>
    </row>
    <row r="733" spans="16:16" ht="13">
      <c r="P733" s="53"/>
    </row>
    <row r="734" spans="16:16" ht="13">
      <c r="P734" s="53"/>
    </row>
    <row r="735" spans="16:16" ht="13">
      <c r="P735" s="53"/>
    </row>
    <row r="736" spans="16:16" ht="13">
      <c r="P736" s="53"/>
    </row>
    <row r="737" spans="16:16" ht="13">
      <c r="P737" s="53"/>
    </row>
    <row r="738" spans="16:16" ht="13">
      <c r="P738" s="53"/>
    </row>
    <row r="739" spans="16:16" ht="13">
      <c r="P739" s="53"/>
    </row>
    <row r="740" spans="16:16" ht="13">
      <c r="P740" s="53"/>
    </row>
    <row r="741" spans="16:16" ht="13">
      <c r="P741" s="53"/>
    </row>
    <row r="742" spans="16:16" ht="13">
      <c r="P742" s="53"/>
    </row>
    <row r="743" spans="16:16" ht="13">
      <c r="P743" s="53"/>
    </row>
    <row r="744" spans="16:16" ht="13">
      <c r="P744" s="53"/>
    </row>
    <row r="745" spans="16:16" ht="13">
      <c r="P745" s="53"/>
    </row>
    <row r="746" spans="16:16" ht="13">
      <c r="P746" s="53"/>
    </row>
    <row r="747" spans="16:16" ht="13">
      <c r="P747" s="53"/>
    </row>
    <row r="748" spans="16:16" ht="13">
      <c r="P748" s="53"/>
    </row>
    <row r="749" spans="16:16" ht="13">
      <c r="P749" s="53"/>
    </row>
    <row r="750" spans="16:16" ht="13">
      <c r="P750" s="53"/>
    </row>
    <row r="751" spans="16:16" ht="13">
      <c r="P751" s="53"/>
    </row>
    <row r="752" spans="16:16" ht="13">
      <c r="P752" s="53"/>
    </row>
    <row r="753" spans="16:16" ht="13">
      <c r="P753" s="53"/>
    </row>
    <row r="754" spans="16:16" ht="13">
      <c r="P754" s="53"/>
    </row>
    <row r="755" spans="16:16" ht="13">
      <c r="P755" s="53"/>
    </row>
    <row r="756" spans="16:16" ht="13">
      <c r="P756" s="53"/>
    </row>
    <row r="757" spans="16:16" ht="13">
      <c r="P757" s="53"/>
    </row>
    <row r="758" spans="16:16" ht="13">
      <c r="P758" s="53"/>
    </row>
    <row r="759" spans="16:16" ht="13">
      <c r="P759" s="53"/>
    </row>
    <row r="760" spans="16:16" ht="13">
      <c r="P760" s="53"/>
    </row>
    <row r="761" spans="16:16" ht="13">
      <c r="P761" s="53"/>
    </row>
    <row r="762" spans="16:16" ht="13">
      <c r="P762" s="53"/>
    </row>
    <row r="763" spans="16:16" ht="13">
      <c r="P763" s="53"/>
    </row>
    <row r="764" spans="16:16" ht="13">
      <c r="P764" s="53"/>
    </row>
    <row r="765" spans="16:16" ht="13">
      <c r="P765" s="53"/>
    </row>
    <row r="766" spans="16:16" ht="13">
      <c r="P766" s="53"/>
    </row>
    <row r="767" spans="16:16" ht="13">
      <c r="P767" s="53"/>
    </row>
    <row r="768" spans="16:16" ht="13">
      <c r="P768" s="53"/>
    </row>
    <row r="769" spans="16:16" ht="13">
      <c r="P769" s="53"/>
    </row>
    <row r="770" spans="16:16" ht="13">
      <c r="P770" s="53"/>
    </row>
    <row r="771" spans="16:16" ht="13">
      <c r="P771" s="53"/>
    </row>
    <row r="772" spans="16:16" ht="13">
      <c r="P772" s="53"/>
    </row>
    <row r="773" spans="16:16" ht="13">
      <c r="P773" s="53"/>
    </row>
    <row r="774" spans="16:16" ht="13">
      <c r="P774" s="53"/>
    </row>
    <row r="775" spans="16:16" ht="13">
      <c r="P775" s="53"/>
    </row>
    <row r="776" spans="16:16" ht="13">
      <c r="P776" s="53"/>
    </row>
    <row r="777" spans="16:16" ht="13">
      <c r="P777" s="53"/>
    </row>
    <row r="778" spans="16:16" ht="13">
      <c r="P778" s="53"/>
    </row>
    <row r="779" spans="16:16" ht="13">
      <c r="P779" s="53"/>
    </row>
    <row r="780" spans="16:16" ht="13">
      <c r="P780" s="53"/>
    </row>
    <row r="781" spans="16:16" ht="13">
      <c r="P781" s="53"/>
    </row>
    <row r="782" spans="16:16" ht="13">
      <c r="P782" s="53"/>
    </row>
    <row r="783" spans="16:16" ht="13">
      <c r="P783" s="53"/>
    </row>
    <row r="784" spans="16:16" ht="13">
      <c r="P784" s="53"/>
    </row>
    <row r="785" spans="16:16" ht="13">
      <c r="P785" s="53"/>
    </row>
    <row r="786" spans="16:16" ht="13">
      <c r="P786" s="53"/>
    </row>
    <row r="787" spans="16:16" ht="13">
      <c r="P787" s="53"/>
    </row>
    <row r="788" spans="16:16" ht="13">
      <c r="P788" s="53"/>
    </row>
    <row r="789" spans="16:16" ht="13">
      <c r="P789" s="53"/>
    </row>
    <row r="790" spans="16:16" ht="13">
      <c r="P790" s="53"/>
    </row>
    <row r="791" spans="16:16" ht="13">
      <c r="P791" s="53"/>
    </row>
    <row r="792" spans="16:16" ht="13">
      <c r="P792" s="53"/>
    </row>
    <row r="793" spans="16:16" ht="13">
      <c r="P793" s="53"/>
    </row>
    <row r="794" spans="16:16" ht="13">
      <c r="P794" s="53"/>
    </row>
    <row r="795" spans="16:16" ht="13">
      <c r="P795" s="53"/>
    </row>
    <row r="796" spans="16:16" ht="13">
      <c r="P796" s="53"/>
    </row>
    <row r="797" spans="16:16" ht="13">
      <c r="P797" s="53"/>
    </row>
    <row r="798" spans="16:16" ht="13">
      <c r="P798" s="53"/>
    </row>
    <row r="799" spans="16:16" ht="13">
      <c r="P799" s="53"/>
    </row>
    <row r="800" spans="16:16" ht="13">
      <c r="P800" s="53"/>
    </row>
    <row r="801" spans="16:16" ht="13">
      <c r="P801" s="53"/>
    </row>
    <row r="802" spans="16:16" ht="13">
      <c r="P802" s="53"/>
    </row>
    <row r="803" spans="16:16" ht="13">
      <c r="P803" s="53"/>
    </row>
    <row r="804" spans="16:16" ht="13">
      <c r="P804" s="53"/>
    </row>
    <row r="805" spans="16:16" ht="13">
      <c r="P805" s="53"/>
    </row>
    <row r="806" spans="16:16" ht="13">
      <c r="P806" s="53"/>
    </row>
    <row r="807" spans="16:16" ht="13">
      <c r="P807" s="53"/>
    </row>
    <row r="808" spans="16:16" ht="13">
      <c r="P808" s="53"/>
    </row>
    <row r="809" spans="16:16" ht="13">
      <c r="P809" s="53"/>
    </row>
    <row r="810" spans="16:16" ht="13">
      <c r="P810" s="53"/>
    </row>
    <row r="811" spans="16:16" ht="13">
      <c r="P811" s="53"/>
    </row>
    <row r="812" spans="16:16" ht="13">
      <c r="P812" s="53"/>
    </row>
    <row r="813" spans="16:16" ht="13">
      <c r="P813" s="53"/>
    </row>
    <row r="814" spans="16:16" ht="13">
      <c r="P814" s="53"/>
    </row>
    <row r="815" spans="16:16" ht="13">
      <c r="P815" s="53"/>
    </row>
    <row r="816" spans="16:16" ht="13">
      <c r="P816" s="53"/>
    </row>
    <row r="817" spans="16:16" ht="13">
      <c r="P817" s="53"/>
    </row>
    <row r="818" spans="16:16" ht="13">
      <c r="P818" s="53"/>
    </row>
    <row r="819" spans="16:16" ht="13">
      <c r="P819" s="53"/>
    </row>
    <row r="820" spans="16:16" ht="13">
      <c r="P820" s="53"/>
    </row>
    <row r="821" spans="16:16" ht="13">
      <c r="P821" s="53"/>
    </row>
    <row r="822" spans="16:16" ht="13">
      <c r="P822" s="53"/>
    </row>
    <row r="823" spans="16:16" ht="13">
      <c r="P823" s="53"/>
    </row>
    <row r="824" spans="16:16" ht="13">
      <c r="P824" s="53"/>
    </row>
    <row r="825" spans="16:16" ht="13">
      <c r="P825" s="53"/>
    </row>
    <row r="826" spans="16:16" ht="13">
      <c r="P826" s="53"/>
    </row>
    <row r="827" spans="16:16" ht="13">
      <c r="P827" s="53"/>
    </row>
    <row r="828" spans="16:16" ht="13">
      <c r="P828" s="53"/>
    </row>
    <row r="829" spans="16:16" ht="13">
      <c r="P829" s="53"/>
    </row>
    <row r="830" spans="16:16" ht="13">
      <c r="P830" s="53"/>
    </row>
    <row r="831" spans="16:16" ht="13">
      <c r="P831" s="53"/>
    </row>
    <row r="832" spans="16:16" ht="13">
      <c r="P832" s="53"/>
    </row>
    <row r="833" spans="16:16" ht="13">
      <c r="P833" s="53"/>
    </row>
    <row r="834" spans="16:16" ht="13">
      <c r="P834" s="53"/>
    </row>
    <row r="835" spans="16:16" ht="13">
      <c r="P835" s="53"/>
    </row>
    <row r="836" spans="16:16" ht="13">
      <c r="P836" s="53"/>
    </row>
    <row r="837" spans="16:16" ht="13">
      <c r="P837" s="53"/>
    </row>
    <row r="838" spans="16:16" ht="13">
      <c r="P838" s="53"/>
    </row>
    <row r="839" spans="16:16" ht="13">
      <c r="P839" s="53"/>
    </row>
    <row r="840" spans="16:16" ht="13">
      <c r="P840" s="53"/>
    </row>
    <row r="841" spans="16:16" ht="13">
      <c r="P841" s="53"/>
    </row>
    <row r="842" spans="16:16" ht="13">
      <c r="P842" s="53"/>
    </row>
    <row r="843" spans="16:16" ht="13">
      <c r="P843" s="53"/>
    </row>
    <row r="844" spans="16:16" ht="13">
      <c r="P844" s="53"/>
    </row>
    <row r="845" spans="16:16" ht="13">
      <c r="P845" s="53"/>
    </row>
    <row r="846" spans="16:16" ht="13">
      <c r="P846" s="53"/>
    </row>
    <row r="847" spans="16:16" ht="13">
      <c r="P847" s="53"/>
    </row>
    <row r="848" spans="16:16" ht="13">
      <c r="P848" s="53"/>
    </row>
    <row r="849" spans="16:16" ht="13">
      <c r="P849" s="53"/>
    </row>
    <row r="850" spans="16:16" ht="13">
      <c r="P850" s="53"/>
    </row>
    <row r="851" spans="16:16" ht="13">
      <c r="P851" s="53"/>
    </row>
    <row r="852" spans="16:16" ht="13">
      <c r="P852" s="53"/>
    </row>
    <row r="853" spans="16:16" ht="13">
      <c r="P853" s="53"/>
    </row>
    <row r="854" spans="16:16" ht="13">
      <c r="P854" s="53"/>
    </row>
    <row r="855" spans="16:16" ht="13">
      <c r="P855" s="53"/>
    </row>
    <row r="856" spans="16:16" ht="13">
      <c r="P856" s="53"/>
    </row>
    <row r="857" spans="16:16" ht="13">
      <c r="P857" s="53"/>
    </row>
    <row r="858" spans="16:16" ht="13">
      <c r="P858" s="53"/>
    </row>
    <row r="859" spans="16:16" ht="13">
      <c r="P859" s="53"/>
    </row>
    <row r="860" spans="16:16" ht="13">
      <c r="P860" s="53"/>
    </row>
    <row r="861" spans="16:16" ht="13">
      <c r="P861" s="53"/>
    </row>
    <row r="862" spans="16:16" ht="13">
      <c r="P862" s="53"/>
    </row>
    <row r="863" spans="16:16" ht="13">
      <c r="P863" s="53"/>
    </row>
    <row r="864" spans="16:16" ht="13">
      <c r="P864" s="53"/>
    </row>
    <row r="865" spans="16:16" ht="13">
      <c r="P865" s="53"/>
    </row>
    <row r="866" spans="16:16" ht="13">
      <c r="P866" s="53"/>
    </row>
    <row r="867" spans="16:16" ht="13">
      <c r="P867" s="53"/>
    </row>
    <row r="868" spans="16:16" ht="13">
      <c r="P868" s="53"/>
    </row>
    <row r="869" spans="16:16" ht="13">
      <c r="P869" s="53"/>
    </row>
    <row r="870" spans="16:16" ht="13">
      <c r="P870" s="53"/>
    </row>
    <row r="871" spans="16:16" ht="13">
      <c r="P871" s="53"/>
    </row>
    <row r="872" spans="16:16" ht="13">
      <c r="P872" s="53"/>
    </row>
    <row r="873" spans="16:16" ht="13">
      <c r="P873" s="53"/>
    </row>
    <row r="874" spans="16:16" ht="13">
      <c r="P874" s="53"/>
    </row>
    <row r="875" spans="16:16" ht="13">
      <c r="P875" s="53"/>
    </row>
    <row r="876" spans="16:16" ht="13">
      <c r="P876" s="53"/>
    </row>
    <row r="877" spans="16:16" ht="13">
      <c r="P877" s="53"/>
    </row>
    <row r="878" spans="16:16" ht="13">
      <c r="P878" s="53"/>
    </row>
    <row r="879" spans="16:16" ht="13">
      <c r="P879" s="53"/>
    </row>
    <row r="880" spans="16:16" ht="13">
      <c r="P880" s="53"/>
    </row>
    <row r="881" spans="16:16" ht="13">
      <c r="P881" s="53"/>
    </row>
    <row r="882" spans="16:16" ht="13">
      <c r="P882" s="53"/>
    </row>
    <row r="883" spans="16:16" ht="13">
      <c r="P883" s="53"/>
    </row>
    <row r="884" spans="16:16" ht="13">
      <c r="P884" s="53"/>
    </row>
    <row r="885" spans="16:16" ht="13">
      <c r="P885" s="53"/>
    </row>
    <row r="886" spans="16:16" ht="13">
      <c r="P886" s="53"/>
    </row>
    <row r="887" spans="16:16" ht="13">
      <c r="P887" s="53"/>
    </row>
    <row r="888" spans="16:16" ht="13">
      <c r="P888" s="53"/>
    </row>
    <row r="889" spans="16:16" ht="13">
      <c r="P889" s="53"/>
    </row>
    <row r="890" spans="16:16" ht="13">
      <c r="P890" s="53"/>
    </row>
    <row r="891" spans="16:16" ht="13">
      <c r="P891" s="53"/>
    </row>
    <row r="892" spans="16:16" ht="13">
      <c r="P892" s="53"/>
    </row>
    <row r="893" spans="16:16" ht="13">
      <c r="P893" s="53"/>
    </row>
    <row r="894" spans="16:16" ht="13">
      <c r="P894" s="53"/>
    </row>
    <row r="895" spans="16:16" ht="13">
      <c r="P895" s="53"/>
    </row>
    <row r="896" spans="16:16" ht="13">
      <c r="P896" s="53"/>
    </row>
    <row r="897" spans="16:16" ht="13">
      <c r="P897" s="53"/>
    </row>
    <row r="898" spans="16:16" ht="13">
      <c r="P898" s="53"/>
    </row>
    <row r="899" spans="16:16" ht="13">
      <c r="P899" s="53"/>
    </row>
    <row r="900" spans="16:16" ht="13">
      <c r="P900" s="53"/>
    </row>
    <row r="901" spans="16:16" ht="13">
      <c r="P901" s="53"/>
    </row>
    <row r="902" spans="16:16" ht="13">
      <c r="P902" s="53"/>
    </row>
    <row r="903" spans="16:16" ht="13">
      <c r="P903" s="53"/>
    </row>
    <row r="904" spans="16:16" ht="13">
      <c r="P904" s="53"/>
    </row>
    <row r="905" spans="16:16" ht="13">
      <c r="P905" s="53"/>
    </row>
    <row r="906" spans="16:16" ht="13">
      <c r="P906" s="53"/>
    </row>
    <row r="907" spans="16:16" ht="13">
      <c r="P907" s="53"/>
    </row>
    <row r="908" spans="16:16" ht="13">
      <c r="P908" s="53"/>
    </row>
    <row r="909" spans="16:16" ht="13">
      <c r="P909" s="53"/>
    </row>
    <row r="910" spans="16:16" ht="13">
      <c r="P910" s="53"/>
    </row>
    <row r="911" spans="16:16" ht="13">
      <c r="P911" s="53"/>
    </row>
    <row r="912" spans="16:16" ht="13">
      <c r="P912" s="53"/>
    </row>
    <row r="913" spans="16:16" ht="13">
      <c r="P913" s="53"/>
    </row>
    <row r="914" spans="16:16" ht="13">
      <c r="P914" s="53"/>
    </row>
    <row r="915" spans="16:16" ht="13">
      <c r="P915" s="53"/>
    </row>
    <row r="916" spans="16:16" ht="13">
      <c r="P916" s="53"/>
    </row>
    <row r="917" spans="16:16" ht="13">
      <c r="P917" s="53"/>
    </row>
    <row r="918" spans="16:16" ht="13">
      <c r="P918" s="53"/>
    </row>
    <row r="919" spans="16:16" ht="13">
      <c r="P919" s="53"/>
    </row>
    <row r="920" spans="16:16" ht="13">
      <c r="P920" s="53"/>
    </row>
    <row r="921" spans="16:16" ht="13">
      <c r="P921" s="53"/>
    </row>
    <row r="922" spans="16:16" ht="13">
      <c r="P922" s="53"/>
    </row>
    <row r="923" spans="16:16" ht="13">
      <c r="P923" s="53"/>
    </row>
    <row r="924" spans="16:16" ht="13">
      <c r="P924" s="53"/>
    </row>
    <row r="925" spans="16:16" ht="13">
      <c r="P925" s="53"/>
    </row>
    <row r="926" spans="16:16" ht="13">
      <c r="P926" s="53"/>
    </row>
    <row r="927" spans="16:16" ht="13">
      <c r="P927" s="53"/>
    </row>
    <row r="928" spans="16:16" ht="13">
      <c r="P928" s="53"/>
    </row>
    <row r="929" spans="16:16" ht="13">
      <c r="P929" s="53"/>
    </row>
    <row r="930" spans="16:16" ht="13">
      <c r="P930" s="53"/>
    </row>
    <row r="931" spans="16:16" ht="13">
      <c r="P931" s="53"/>
    </row>
    <row r="932" spans="16:16" ht="13">
      <c r="P932" s="53"/>
    </row>
    <row r="933" spans="16:16" ht="13">
      <c r="P933" s="53"/>
    </row>
    <row r="934" spans="16:16" ht="13">
      <c r="P934" s="53"/>
    </row>
    <row r="935" spans="16:16" ht="13">
      <c r="P935" s="53"/>
    </row>
    <row r="936" spans="16:16" ht="13">
      <c r="P936" s="53"/>
    </row>
    <row r="937" spans="16:16" ht="13">
      <c r="P937" s="53"/>
    </row>
    <row r="938" spans="16:16" ht="13">
      <c r="P938" s="53"/>
    </row>
    <row r="939" spans="16:16" ht="13">
      <c r="P939" s="53"/>
    </row>
    <row r="940" spans="16:16" ht="13">
      <c r="P940" s="53"/>
    </row>
    <row r="941" spans="16:16" ht="13">
      <c r="P941" s="53"/>
    </row>
    <row r="942" spans="16:16" ht="13">
      <c r="P942" s="53"/>
    </row>
    <row r="943" spans="16:16" ht="13">
      <c r="P943" s="53"/>
    </row>
    <row r="944" spans="16:16" ht="13">
      <c r="P944" s="53"/>
    </row>
    <row r="945" spans="16:16" ht="13">
      <c r="P945" s="53"/>
    </row>
    <row r="946" spans="16:16" ht="13">
      <c r="P946" s="53"/>
    </row>
    <row r="947" spans="16:16" ht="13">
      <c r="P947" s="53"/>
    </row>
    <row r="948" spans="16:16" ht="13">
      <c r="P948" s="53"/>
    </row>
    <row r="949" spans="16:16" ht="13">
      <c r="P949" s="53"/>
    </row>
    <row r="950" spans="16:16" ht="13">
      <c r="P950" s="53"/>
    </row>
    <row r="951" spans="16:16" ht="13">
      <c r="P951" s="53"/>
    </row>
    <row r="952" spans="16:16" ht="13">
      <c r="P952" s="53"/>
    </row>
    <row r="953" spans="16:16" ht="13">
      <c r="P953" s="53"/>
    </row>
    <row r="954" spans="16:16" ht="13">
      <c r="P954" s="53"/>
    </row>
    <row r="955" spans="16:16" ht="13">
      <c r="P955" s="53"/>
    </row>
    <row r="956" spans="16:16" ht="13">
      <c r="P956" s="53"/>
    </row>
    <row r="957" spans="16:16" ht="13">
      <c r="P957" s="53"/>
    </row>
    <row r="958" spans="16:16" ht="13">
      <c r="P958" s="53"/>
    </row>
    <row r="959" spans="16:16" ht="13">
      <c r="P959" s="53"/>
    </row>
    <row r="960" spans="16:16" ht="13">
      <c r="P960" s="53"/>
    </row>
    <row r="961" spans="16:16" ht="13">
      <c r="P961" s="53"/>
    </row>
    <row r="962" spans="16:16" ht="13">
      <c r="P962" s="53"/>
    </row>
    <row r="963" spans="16:16" ht="13">
      <c r="P963" s="53"/>
    </row>
    <row r="964" spans="16:16" ht="13">
      <c r="P964" s="53"/>
    </row>
    <row r="965" spans="16:16" ht="13">
      <c r="P965" s="53"/>
    </row>
    <row r="966" spans="16:16" ht="13">
      <c r="P966" s="53"/>
    </row>
    <row r="967" spans="16:16" ht="13">
      <c r="P967" s="53"/>
    </row>
    <row r="968" spans="16:16" ht="13">
      <c r="P968" s="53"/>
    </row>
    <row r="969" spans="16:16" ht="13">
      <c r="P969" s="53"/>
    </row>
    <row r="970" spans="16:16" ht="13">
      <c r="P970" s="53"/>
    </row>
    <row r="971" spans="16:16" ht="13">
      <c r="P971" s="53"/>
    </row>
    <row r="972" spans="16:16" ht="13">
      <c r="P972" s="53"/>
    </row>
    <row r="973" spans="16:16" ht="13">
      <c r="P973" s="53"/>
    </row>
    <row r="974" spans="16:16" ht="13">
      <c r="P974" s="53"/>
    </row>
    <row r="975" spans="16:16" ht="13">
      <c r="P975" s="53"/>
    </row>
    <row r="976" spans="16:16" ht="13">
      <c r="P976" s="53"/>
    </row>
    <row r="977" spans="16:16" ht="13">
      <c r="P977" s="53"/>
    </row>
    <row r="978" spans="16:16" ht="13">
      <c r="P978" s="53"/>
    </row>
    <row r="979" spans="16:16" ht="13">
      <c r="P979" s="53"/>
    </row>
    <row r="980" spans="16:16" ht="13">
      <c r="P980" s="53"/>
    </row>
    <row r="981" spans="16:16" ht="13">
      <c r="P981" s="53"/>
    </row>
    <row r="982" spans="16:16" ht="13">
      <c r="P982" s="53"/>
    </row>
    <row r="983" spans="16:16" ht="13">
      <c r="P983" s="53"/>
    </row>
    <row r="984" spans="16:16" ht="13">
      <c r="P984" s="53"/>
    </row>
    <row r="985" spans="16:16" ht="13">
      <c r="P985" s="53"/>
    </row>
    <row r="986" spans="16:16" ht="13">
      <c r="P986" s="53"/>
    </row>
    <row r="987" spans="16:16" ht="13">
      <c r="P987" s="53"/>
    </row>
    <row r="988" spans="16:16" ht="13">
      <c r="P988" s="53"/>
    </row>
    <row r="989" spans="16:16" ht="13">
      <c r="P989" s="53"/>
    </row>
    <row r="990" spans="16:16" ht="13">
      <c r="P990" s="53"/>
    </row>
    <row r="991" spans="16:16" ht="13">
      <c r="P991" s="53"/>
    </row>
    <row r="992" spans="16:16" ht="13">
      <c r="P992" s="53"/>
    </row>
    <row r="993" spans="16:16" ht="13">
      <c r="P993" s="53"/>
    </row>
    <row r="994" spans="16:16" ht="13">
      <c r="P994" s="53"/>
    </row>
    <row r="995" spans="16:16" ht="13">
      <c r="P995" s="53"/>
    </row>
    <row r="996" spans="16:16" ht="13">
      <c r="P996" s="53"/>
    </row>
    <row r="997" spans="16:16" ht="13">
      <c r="P997" s="53"/>
    </row>
    <row r="998" spans="16:16" ht="13">
      <c r="P998" s="53"/>
    </row>
    <row r="999" spans="16:16" ht="13">
      <c r="P999" s="53"/>
    </row>
    <row r="1000" spans="16:16" ht="13">
      <c r="P1000" s="53"/>
    </row>
    <row r="1001" spans="16:16" ht="13">
      <c r="P1001" s="53"/>
    </row>
    <row r="1002" spans="16:16" ht="13">
      <c r="P1002" s="53"/>
    </row>
    <row r="1003" spans="16:16" ht="13">
      <c r="P1003" s="53"/>
    </row>
    <row r="1004" spans="16:16" ht="13">
      <c r="P1004" s="53"/>
    </row>
    <row r="1005" spans="16:16" ht="13">
      <c r="P1005" s="53"/>
    </row>
    <row r="1006" spans="16:16" ht="13">
      <c r="P1006" s="53"/>
    </row>
    <row r="1007" spans="16:16" ht="13">
      <c r="P1007" s="53"/>
    </row>
    <row r="1008" spans="16:16" ht="13">
      <c r="P1008" s="53"/>
    </row>
    <row r="1009" spans="16:16" ht="13">
      <c r="P1009" s="53"/>
    </row>
    <row r="1010" spans="16:16" ht="13">
      <c r="P1010" s="53"/>
    </row>
    <row r="1011" spans="16:16" ht="13">
      <c r="P1011" s="53"/>
    </row>
    <row r="1012" spans="16:16" ht="13">
      <c r="P1012" s="53"/>
    </row>
    <row r="1013" spans="16:16" ht="13">
      <c r="P1013" s="53"/>
    </row>
    <row r="1014" spans="16:16" ht="13">
      <c r="P1014" s="53"/>
    </row>
    <row r="1015" spans="16:16" ht="13">
      <c r="P1015" s="53"/>
    </row>
    <row r="1016" spans="16:16" ht="13">
      <c r="P1016" s="53"/>
    </row>
    <row r="1017" spans="16:16" ht="13">
      <c r="P1017" s="53"/>
    </row>
    <row r="1018" spans="16:16" ht="13">
      <c r="P1018" s="53"/>
    </row>
    <row r="1019" spans="16:16" ht="13">
      <c r="P1019" s="5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I74"/>
  <sheetViews>
    <sheetView topLeftCell="A46" workbookViewId="0"/>
  </sheetViews>
  <sheetFormatPr baseColWidth="10" defaultColWidth="12.6640625" defaultRowHeight="15.75" customHeight="1"/>
  <cols>
    <col min="1" max="1" width="11.83203125" customWidth="1"/>
    <col min="2" max="2" width="11.5" customWidth="1"/>
    <col min="3" max="3" width="18.6640625" customWidth="1"/>
    <col min="4" max="4" width="10.1640625" customWidth="1"/>
    <col min="5" max="5" width="14.6640625" customWidth="1"/>
    <col min="10" max="10" width="14.1640625" customWidth="1"/>
    <col min="11" max="11" width="12.6640625" customWidth="1"/>
  </cols>
  <sheetData>
    <row r="2" spans="1:14" ht="15.75" customHeight="1">
      <c r="E2" s="6">
        <f>D7*10*0.75</f>
        <v>17250</v>
      </c>
    </row>
    <row r="6" spans="1:14" ht="15.75" customHeight="1">
      <c r="A6" s="1" t="s">
        <v>0</v>
      </c>
      <c r="B6" s="1" t="s">
        <v>1</v>
      </c>
      <c r="C6" s="1" t="s">
        <v>2</v>
      </c>
      <c r="D6" s="1" t="s">
        <v>3</v>
      </c>
      <c r="E6" s="1" t="s">
        <v>4</v>
      </c>
    </row>
    <row r="7" spans="1:14" ht="15.75" customHeight="1">
      <c r="A7" s="3">
        <v>44560</v>
      </c>
      <c r="B7" s="4" t="s">
        <v>132</v>
      </c>
      <c r="C7" s="4">
        <v>500</v>
      </c>
      <c r="D7" s="5">
        <v>2300</v>
      </c>
      <c r="E7" s="5">
        <f>D7*C7</f>
        <v>1150000</v>
      </c>
      <c r="L7" s="2">
        <f>220*2300</f>
        <v>506000</v>
      </c>
    </row>
    <row r="9" spans="1:14" ht="15.75" customHeight="1">
      <c r="A9" s="8" t="s">
        <v>8</v>
      </c>
      <c r="B9" s="9"/>
      <c r="C9" s="9"/>
      <c r="D9" s="10"/>
      <c r="E9" s="11">
        <f>SUM(E16:E58)</f>
        <v>730</v>
      </c>
      <c r="G9" s="8" t="s">
        <v>9</v>
      </c>
      <c r="H9" s="9"/>
      <c r="I9" s="10"/>
      <c r="J9" s="11">
        <f>J13</f>
        <v>275</v>
      </c>
      <c r="L9" s="2" t="s">
        <v>66</v>
      </c>
      <c r="M9" s="2" t="s">
        <v>67</v>
      </c>
    </row>
    <row r="10" spans="1:14" ht="15.75" customHeight="1">
      <c r="A10" s="8" t="s">
        <v>133</v>
      </c>
      <c r="B10" s="9"/>
      <c r="C10" s="9"/>
      <c r="D10" s="10"/>
      <c r="E10" s="11">
        <f>C7-E9</f>
        <v>-230</v>
      </c>
      <c r="G10" s="8" t="s">
        <v>134</v>
      </c>
      <c r="H10" s="9"/>
      <c r="I10" s="10"/>
      <c r="J10" s="11">
        <f>C7-J9</f>
        <v>225</v>
      </c>
      <c r="L10" s="2">
        <f>J10*2300*0.5</f>
        <v>258750</v>
      </c>
      <c r="M10" s="2">
        <f>J10*2300*0.25</f>
        <v>129375</v>
      </c>
      <c r="N10" s="2">
        <f>M10</f>
        <v>129375</v>
      </c>
    </row>
    <row r="11" spans="1:14" ht="15.75" customHeight="1">
      <c r="A11" s="8" t="s">
        <v>70</v>
      </c>
      <c r="B11" s="9"/>
      <c r="C11" s="9"/>
      <c r="D11" s="10"/>
      <c r="E11" s="14">
        <f>I17-(J9*2300*0.25)</f>
        <v>129375</v>
      </c>
      <c r="G11" s="8" t="s">
        <v>69</v>
      </c>
      <c r="H11" s="9"/>
      <c r="I11" s="10"/>
      <c r="J11" s="11">
        <f>SUM(K13:L13)</f>
        <v>55</v>
      </c>
    </row>
    <row r="12" spans="1:14" ht="15.75" customHeight="1">
      <c r="A12" s="8" t="s">
        <v>15</v>
      </c>
      <c r="B12" s="9"/>
      <c r="C12" s="9"/>
      <c r="D12" s="15">
        <f>E12/E7</f>
        <v>0.94005217391304352</v>
      </c>
      <c r="E12" s="14">
        <f>SUM(I17:I76)</f>
        <v>1081060</v>
      </c>
    </row>
    <row r="13" spans="1:14" ht="15.75" customHeight="1">
      <c r="A13" s="8" t="s">
        <v>16</v>
      </c>
      <c r="B13" s="9"/>
      <c r="C13" s="9"/>
      <c r="D13" s="9"/>
      <c r="E13" s="99">
        <f>E7-E12</f>
        <v>68940</v>
      </c>
      <c r="J13" s="54">
        <f t="shared" ref="J13:L13" si="0">SUM(J17:J55)</f>
        <v>275</v>
      </c>
      <c r="K13" s="55">
        <f t="shared" si="0"/>
        <v>55</v>
      </c>
      <c r="L13" s="30">
        <f t="shared" si="0"/>
        <v>0</v>
      </c>
    </row>
    <row r="15" spans="1:14" ht="15.75" customHeight="1">
      <c r="A15" s="16" t="s">
        <v>17</v>
      </c>
      <c r="B15" s="16" t="s">
        <v>18</v>
      </c>
      <c r="C15" s="16" t="s">
        <v>20</v>
      </c>
      <c r="D15" s="16" t="s">
        <v>21</v>
      </c>
      <c r="E15" s="16" t="s">
        <v>8</v>
      </c>
      <c r="F15" s="16" t="s">
        <v>23</v>
      </c>
      <c r="G15" s="16" t="s">
        <v>24</v>
      </c>
      <c r="H15" s="16" t="s">
        <v>25</v>
      </c>
      <c r="I15" s="16" t="s">
        <v>26</v>
      </c>
      <c r="J15" s="16" t="s">
        <v>74</v>
      </c>
      <c r="K15" s="16" t="s">
        <v>135</v>
      </c>
      <c r="L15" s="16" t="s">
        <v>76</v>
      </c>
    </row>
    <row r="17" spans="1:35" ht="15.75" customHeight="1">
      <c r="A17" s="22">
        <v>156199</v>
      </c>
      <c r="B17" s="56">
        <v>44561</v>
      </c>
      <c r="C17" s="22" t="s">
        <v>77</v>
      </c>
      <c r="D17" s="22">
        <v>500</v>
      </c>
      <c r="E17" s="22"/>
      <c r="F17" s="29">
        <f>D7*0.25</f>
        <v>575</v>
      </c>
      <c r="G17" s="29">
        <f>D17*F17</f>
        <v>287500</v>
      </c>
      <c r="H17" s="22" t="s">
        <v>28</v>
      </c>
      <c r="I17" s="29">
        <f>G17</f>
        <v>287500</v>
      </c>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row>
    <row r="18" spans="1:35" ht="15.75" customHeight="1">
      <c r="A18" s="18">
        <v>156231</v>
      </c>
      <c r="B18" s="18"/>
      <c r="C18" s="18" t="s">
        <v>84</v>
      </c>
      <c r="D18" s="18">
        <v>50</v>
      </c>
      <c r="E18" s="18">
        <f>D18</f>
        <v>50</v>
      </c>
      <c r="F18" s="18"/>
      <c r="G18" s="20">
        <f>SUM(G19:G20)</f>
        <v>86250</v>
      </c>
      <c r="H18" s="18" t="s">
        <v>136</v>
      </c>
      <c r="I18" s="18"/>
      <c r="J18" s="54">
        <f>E18</f>
        <v>50</v>
      </c>
      <c r="K18" s="22"/>
      <c r="M18" s="22"/>
      <c r="N18" s="22"/>
      <c r="O18" s="22"/>
      <c r="P18" s="22"/>
      <c r="Q18" s="22"/>
      <c r="R18" s="22"/>
      <c r="S18" s="22"/>
      <c r="T18" s="22"/>
      <c r="U18" s="22"/>
      <c r="V18" s="22"/>
      <c r="W18" s="22"/>
      <c r="X18" s="22"/>
      <c r="Y18" s="22"/>
      <c r="Z18" s="22"/>
      <c r="AA18" s="22"/>
      <c r="AB18" s="22"/>
      <c r="AC18" s="22"/>
      <c r="AD18" s="22"/>
      <c r="AE18" s="22"/>
      <c r="AF18" s="22"/>
      <c r="AG18" s="22"/>
      <c r="AH18" s="22"/>
      <c r="AI18" s="22"/>
    </row>
    <row r="19" spans="1:35" ht="15.75" customHeight="1">
      <c r="A19" s="2"/>
      <c r="B19" s="2"/>
      <c r="C19" s="2" t="s">
        <v>80</v>
      </c>
      <c r="D19" s="2">
        <f t="shared" ref="D19:D20" si="1">D18</f>
        <v>50</v>
      </c>
      <c r="E19" s="6"/>
      <c r="F19" s="6">
        <v>1150</v>
      </c>
      <c r="G19" s="6">
        <f t="shared" ref="G19:G20" si="2">D19*F19</f>
        <v>57500</v>
      </c>
      <c r="H19" s="22" t="s">
        <v>28</v>
      </c>
      <c r="I19" s="29">
        <f t="shared" ref="I19:I20" si="3">G19</f>
        <v>57500</v>
      </c>
    </row>
    <row r="20" spans="1:35" ht="15.75" customHeight="1">
      <c r="A20" s="2"/>
      <c r="B20" s="2"/>
      <c r="C20" s="2" t="s">
        <v>31</v>
      </c>
      <c r="D20" s="2">
        <f t="shared" si="1"/>
        <v>50</v>
      </c>
      <c r="E20" s="6"/>
      <c r="F20" s="6">
        <v>575</v>
      </c>
      <c r="G20" s="6">
        <f t="shared" si="2"/>
        <v>28750</v>
      </c>
      <c r="H20" s="22" t="s">
        <v>28</v>
      </c>
      <c r="I20" s="29">
        <f t="shared" si="3"/>
        <v>28750</v>
      </c>
    </row>
    <row r="21" spans="1:35" ht="15.75" customHeight="1">
      <c r="A21" s="18">
        <v>156244</v>
      </c>
      <c r="B21" s="18"/>
      <c r="C21" s="18" t="s">
        <v>137</v>
      </c>
      <c r="D21" s="18">
        <v>90</v>
      </c>
      <c r="E21" s="18">
        <f>D21</f>
        <v>90</v>
      </c>
      <c r="F21" s="18"/>
      <c r="G21" s="20">
        <f>SUM(G22:G23)</f>
        <v>155250</v>
      </c>
      <c r="H21" s="18" t="s">
        <v>28</v>
      </c>
      <c r="I21" s="18"/>
      <c r="J21" s="54">
        <v>40</v>
      </c>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row>
    <row r="22" spans="1:35" ht="15.75" customHeight="1">
      <c r="A22" s="2"/>
      <c r="B22" s="2"/>
      <c r="C22" s="2" t="s">
        <v>80</v>
      </c>
      <c r="D22" s="2">
        <f t="shared" ref="D22:D23" si="4">D21</f>
        <v>90</v>
      </c>
      <c r="E22" s="6"/>
      <c r="F22" s="6">
        <v>1150</v>
      </c>
      <c r="G22" s="6">
        <f t="shared" ref="G22:G23" si="5">D22*F22</f>
        <v>103500</v>
      </c>
      <c r="H22" s="22" t="s">
        <v>28</v>
      </c>
      <c r="I22" s="29">
        <f t="shared" ref="I22:I23" si="6">G22</f>
        <v>103500</v>
      </c>
    </row>
    <row r="23" spans="1:35" ht="15.75" customHeight="1">
      <c r="A23" s="2"/>
      <c r="B23" s="2"/>
      <c r="C23" s="2" t="s">
        <v>31</v>
      </c>
      <c r="D23" s="2">
        <f t="shared" si="4"/>
        <v>90</v>
      </c>
      <c r="E23" s="6"/>
      <c r="F23" s="6">
        <v>575</v>
      </c>
      <c r="G23" s="6">
        <f t="shared" si="5"/>
        <v>51750</v>
      </c>
      <c r="H23" s="22" t="s">
        <v>28</v>
      </c>
      <c r="I23" s="29">
        <f t="shared" si="6"/>
        <v>51750</v>
      </c>
    </row>
    <row r="24" spans="1:35" ht="15.75" customHeight="1">
      <c r="A24" s="18">
        <v>156253</v>
      </c>
      <c r="B24" s="18"/>
      <c r="C24" s="18" t="s">
        <v>138</v>
      </c>
      <c r="D24" s="18">
        <v>0</v>
      </c>
      <c r="E24" s="18">
        <f>D24</f>
        <v>0</v>
      </c>
      <c r="F24" s="18"/>
      <c r="G24" s="20">
        <f>SUM(G25:G26)</f>
        <v>0</v>
      </c>
      <c r="H24" s="18" t="s">
        <v>28</v>
      </c>
      <c r="I24" s="18"/>
      <c r="J24" s="54">
        <v>40</v>
      </c>
      <c r="M24" s="22"/>
      <c r="N24" s="22"/>
      <c r="O24" s="22"/>
      <c r="P24" s="22"/>
      <c r="Q24" s="22"/>
      <c r="R24" s="22"/>
      <c r="S24" s="22"/>
      <c r="T24" s="22"/>
      <c r="U24" s="22"/>
      <c r="V24" s="22"/>
      <c r="W24" s="22"/>
      <c r="X24" s="22"/>
      <c r="Y24" s="22"/>
      <c r="Z24" s="22"/>
      <c r="AA24" s="22"/>
      <c r="AB24" s="22"/>
      <c r="AC24" s="22"/>
      <c r="AD24" s="22"/>
      <c r="AE24" s="22"/>
      <c r="AF24" s="22"/>
      <c r="AG24" s="22"/>
      <c r="AH24" s="22"/>
      <c r="AI24" s="22"/>
    </row>
    <row r="25" spans="1:35" ht="15.75" customHeight="1">
      <c r="A25" s="2"/>
      <c r="B25" s="2"/>
      <c r="C25" s="2" t="s">
        <v>80</v>
      </c>
      <c r="D25" s="2">
        <f t="shared" ref="D25:D26" si="7">D24</f>
        <v>0</v>
      </c>
      <c r="E25" s="6"/>
      <c r="F25" s="6">
        <v>1150</v>
      </c>
      <c r="G25" s="6">
        <f t="shared" ref="G25:G26" si="8">D25*F25</f>
        <v>0</v>
      </c>
      <c r="H25" s="22" t="s">
        <v>28</v>
      </c>
      <c r="I25" s="29">
        <f t="shared" ref="I25:I26" si="9">G25</f>
        <v>0</v>
      </c>
    </row>
    <row r="26" spans="1:35" ht="15.75" customHeight="1">
      <c r="A26" s="2"/>
      <c r="B26" s="2"/>
      <c r="C26" s="2" t="s">
        <v>31</v>
      </c>
      <c r="D26" s="2">
        <f t="shared" si="7"/>
        <v>0</v>
      </c>
      <c r="E26" s="6"/>
      <c r="F26" s="6">
        <v>575</v>
      </c>
      <c r="G26" s="6">
        <f t="shared" si="8"/>
        <v>0</v>
      </c>
      <c r="H26" s="22" t="s">
        <v>28</v>
      </c>
      <c r="I26" s="29">
        <f t="shared" si="9"/>
        <v>0</v>
      </c>
    </row>
    <row r="27" spans="1:35" ht="15.75" customHeight="1">
      <c r="A27" s="18">
        <v>156281</v>
      </c>
      <c r="B27" s="18"/>
      <c r="C27" s="18" t="s">
        <v>139</v>
      </c>
      <c r="D27" s="18">
        <v>50</v>
      </c>
      <c r="E27" s="18">
        <f>D27</f>
        <v>50</v>
      </c>
      <c r="F27" s="18"/>
      <c r="G27" s="20">
        <f>SUM(G28:G29)</f>
        <v>71875</v>
      </c>
      <c r="H27" s="18" t="s">
        <v>140</v>
      </c>
      <c r="I27" s="18"/>
      <c r="J27" s="54">
        <v>0</v>
      </c>
      <c r="M27" s="22"/>
      <c r="N27" s="22"/>
      <c r="O27" s="22"/>
      <c r="P27" s="22"/>
      <c r="Q27" s="22"/>
      <c r="R27" s="22"/>
      <c r="S27" s="22"/>
      <c r="T27" s="22"/>
      <c r="U27" s="22"/>
      <c r="V27" s="22"/>
      <c r="W27" s="22"/>
      <c r="X27" s="22"/>
      <c r="Y27" s="22"/>
      <c r="Z27" s="22"/>
      <c r="AA27" s="22"/>
      <c r="AB27" s="22"/>
      <c r="AC27" s="22"/>
      <c r="AD27" s="22"/>
      <c r="AE27" s="22"/>
      <c r="AF27" s="22"/>
      <c r="AG27" s="22"/>
      <c r="AH27" s="22"/>
      <c r="AI27" s="22"/>
    </row>
    <row r="28" spans="1:35" ht="15.75" customHeight="1">
      <c r="A28" s="2"/>
      <c r="B28" s="2"/>
      <c r="C28" s="2" t="s">
        <v>80</v>
      </c>
      <c r="D28" s="2">
        <f>D27</f>
        <v>50</v>
      </c>
      <c r="E28" s="6"/>
      <c r="F28" s="6">
        <v>1150</v>
      </c>
      <c r="G28" s="6">
        <f t="shared" ref="G28:G30" si="10">D28*F28</f>
        <v>57500</v>
      </c>
      <c r="H28" s="22" t="s">
        <v>28</v>
      </c>
      <c r="I28" s="29">
        <f>IF(H28="Paid",G28,0)</f>
        <v>57500</v>
      </c>
    </row>
    <row r="29" spans="1:35" ht="15.75" customHeight="1">
      <c r="A29" s="2"/>
      <c r="B29" s="2"/>
      <c r="C29" s="2" t="s">
        <v>31</v>
      </c>
      <c r="D29" s="2">
        <v>25</v>
      </c>
      <c r="E29" s="6"/>
      <c r="F29" s="6">
        <v>575</v>
      </c>
      <c r="G29" s="6">
        <f t="shared" si="10"/>
        <v>14375</v>
      </c>
      <c r="H29" s="22" t="s">
        <v>28</v>
      </c>
      <c r="I29" s="29">
        <f t="shared" ref="I29:I30" si="11">G29</f>
        <v>14375</v>
      </c>
    </row>
    <row r="30" spans="1:35" ht="15.75" customHeight="1">
      <c r="A30" s="2"/>
      <c r="B30" s="2"/>
      <c r="C30" s="2" t="s">
        <v>31</v>
      </c>
      <c r="D30" s="2">
        <v>25</v>
      </c>
      <c r="E30" s="6"/>
      <c r="F30" s="6">
        <v>575</v>
      </c>
      <c r="G30" s="6">
        <f t="shared" si="10"/>
        <v>14375</v>
      </c>
      <c r="H30" s="22" t="s">
        <v>28</v>
      </c>
      <c r="I30" s="29">
        <f t="shared" si="11"/>
        <v>14375</v>
      </c>
    </row>
    <row r="31" spans="1:35" ht="15.75" customHeight="1">
      <c r="A31" s="18"/>
      <c r="B31" s="18"/>
      <c r="C31" s="18" t="s">
        <v>141</v>
      </c>
      <c r="D31" s="18">
        <v>0</v>
      </c>
      <c r="E31" s="18">
        <f>D31</f>
        <v>0</v>
      </c>
      <c r="F31" s="18"/>
      <c r="G31" s="20">
        <f>SUM(G32:G33)</f>
        <v>0</v>
      </c>
      <c r="H31" s="18" t="s">
        <v>140</v>
      </c>
      <c r="I31" s="18"/>
      <c r="J31" s="54">
        <v>60</v>
      </c>
      <c r="M31" s="22"/>
      <c r="N31" s="22"/>
      <c r="O31" s="22"/>
      <c r="P31" s="22"/>
      <c r="Q31" s="22"/>
      <c r="R31" s="22"/>
      <c r="S31" s="22"/>
      <c r="T31" s="22"/>
      <c r="U31" s="22"/>
      <c r="V31" s="22"/>
      <c r="W31" s="22"/>
      <c r="X31" s="22"/>
      <c r="Y31" s="22"/>
      <c r="Z31" s="22"/>
      <c r="AA31" s="22"/>
      <c r="AB31" s="22"/>
      <c r="AC31" s="22"/>
      <c r="AD31" s="22"/>
      <c r="AE31" s="22"/>
      <c r="AF31" s="22"/>
      <c r="AG31" s="22"/>
      <c r="AH31" s="22"/>
      <c r="AI31" s="22"/>
    </row>
    <row r="32" spans="1:35" ht="15.75" customHeight="1">
      <c r="A32" s="2"/>
      <c r="B32" s="2"/>
      <c r="C32" s="2" t="s">
        <v>80</v>
      </c>
      <c r="D32" s="2">
        <f>D31</f>
        <v>0</v>
      </c>
      <c r="E32" s="6"/>
      <c r="F32" s="6">
        <v>1150</v>
      </c>
      <c r="G32" s="6">
        <f t="shared" ref="G32:G33" si="12">D32*F32</f>
        <v>0</v>
      </c>
      <c r="H32" s="22" t="s">
        <v>28</v>
      </c>
      <c r="I32" s="29">
        <f>IF(H32="Paid",G32,0)</f>
        <v>0</v>
      </c>
    </row>
    <row r="33" spans="1:35" ht="15.75" customHeight="1">
      <c r="A33" s="2"/>
      <c r="B33" s="2"/>
      <c r="C33" s="2" t="s">
        <v>31</v>
      </c>
      <c r="D33" s="2">
        <v>0</v>
      </c>
      <c r="E33" s="6"/>
      <c r="F33" s="6">
        <v>575</v>
      </c>
      <c r="G33" s="6">
        <f t="shared" si="12"/>
        <v>0</v>
      </c>
      <c r="H33" s="22" t="s">
        <v>28</v>
      </c>
      <c r="I33" s="29">
        <f>G33</f>
        <v>0</v>
      </c>
    </row>
    <row r="34" spans="1:35" ht="15.75" customHeight="1">
      <c r="A34" s="18"/>
      <c r="B34" s="18"/>
      <c r="C34" s="100" t="s">
        <v>142</v>
      </c>
      <c r="D34" s="18">
        <v>40</v>
      </c>
      <c r="E34" s="18">
        <f>D34</f>
        <v>40</v>
      </c>
      <c r="F34" s="18"/>
      <c r="G34" s="20">
        <f>SUM(G35:G36)</f>
        <v>69000</v>
      </c>
      <c r="H34" s="18" t="s">
        <v>140</v>
      </c>
      <c r="I34" s="18"/>
      <c r="J34" s="54"/>
      <c r="M34" s="22"/>
      <c r="N34" s="22"/>
      <c r="O34" s="22"/>
      <c r="P34" s="22"/>
      <c r="Q34" s="22"/>
      <c r="R34" s="22"/>
      <c r="S34" s="22"/>
      <c r="T34" s="22"/>
      <c r="U34" s="22"/>
      <c r="V34" s="22"/>
      <c r="W34" s="22"/>
      <c r="X34" s="22"/>
      <c r="Y34" s="22"/>
      <c r="Z34" s="22"/>
      <c r="AA34" s="22"/>
      <c r="AB34" s="22"/>
      <c r="AC34" s="22"/>
      <c r="AD34" s="22"/>
      <c r="AE34" s="22"/>
      <c r="AF34" s="22"/>
      <c r="AG34" s="22"/>
      <c r="AH34" s="22"/>
      <c r="AI34" s="22"/>
    </row>
    <row r="35" spans="1:35" ht="15.75" customHeight="1">
      <c r="A35" s="2"/>
      <c r="B35" s="2"/>
      <c r="C35" s="2" t="s">
        <v>80</v>
      </c>
      <c r="D35" s="2">
        <f t="shared" ref="D35:D36" si="13">D34</f>
        <v>40</v>
      </c>
      <c r="E35" s="6"/>
      <c r="F35" s="6">
        <v>1150</v>
      </c>
      <c r="G35" s="6">
        <f t="shared" ref="G35:G36" si="14">D35*F35</f>
        <v>46000</v>
      </c>
      <c r="H35" s="22" t="s">
        <v>28</v>
      </c>
      <c r="I35" s="29">
        <f t="shared" ref="I35:I36" si="15">G35</f>
        <v>46000</v>
      </c>
    </row>
    <row r="36" spans="1:35" ht="15.75" customHeight="1">
      <c r="A36" s="2"/>
      <c r="B36" s="2"/>
      <c r="C36" s="2" t="s">
        <v>31</v>
      </c>
      <c r="D36" s="2">
        <f t="shared" si="13"/>
        <v>40</v>
      </c>
      <c r="E36" s="6"/>
      <c r="F36" s="6">
        <v>575</v>
      </c>
      <c r="G36" s="6">
        <f t="shared" si="14"/>
        <v>23000</v>
      </c>
      <c r="H36" s="22"/>
      <c r="I36" s="29">
        <f t="shared" si="15"/>
        <v>23000</v>
      </c>
    </row>
    <row r="37" spans="1:35" ht="15.75" customHeight="1">
      <c r="A37" s="18"/>
      <c r="B37" s="18"/>
      <c r="C37" s="100" t="s">
        <v>143</v>
      </c>
      <c r="D37" s="18">
        <v>50</v>
      </c>
      <c r="E37" s="18">
        <f>D37</f>
        <v>50</v>
      </c>
      <c r="F37" s="18"/>
      <c r="G37" s="20">
        <f>SUM(G38:G39)</f>
        <v>86250</v>
      </c>
      <c r="H37" s="18" t="s">
        <v>140</v>
      </c>
      <c r="I37" s="18"/>
      <c r="J37" s="54">
        <v>40</v>
      </c>
      <c r="M37" s="22"/>
      <c r="N37" s="22"/>
      <c r="O37" s="22"/>
      <c r="P37" s="22"/>
      <c r="Q37" s="22"/>
      <c r="R37" s="22"/>
      <c r="S37" s="22"/>
      <c r="T37" s="22"/>
      <c r="U37" s="22"/>
      <c r="V37" s="22"/>
      <c r="W37" s="22"/>
      <c r="X37" s="22"/>
      <c r="Y37" s="22"/>
      <c r="Z37" s="22"/>
      <c r="AA37" s="22"/>
      <c r="AB37" s="22"/>
      <c r="AC37" s="22"/>
      <c r="AD37" s="22"/>
      <c r="AE37" s="22"/>
      <c r="AF37" s="22"/>
      <c r="AG37" s="22"/>
      <c r="AH37" s="22"/>
      <c r="AI37" s="22"/>
    </row>
    <row r="38" spans="1:35" ht="15.75" customHeight="1">
      <c r="A38" s="2"/>
      <c r="B38" s="2"/>
      <c r="C38" s="2" t="s">
        <v>80</v>
      </c>
      <c r="D38" s="2">
        <f t="shared" ref="D38:D39" si="16">D37</f>
        <v>50</v>
      </c>
      <c r="E38" s="6"/>
      <c r="F38" s="6">
        <v>1150</v>
      </c>
      <c r="G38" s="6">
        <f t="shared" ref="G38:G39" si="17">D38*F38</f>
        <v>57500</v>
      </c>
      <c r="H38" s="22" t="s">
        <v>144</v>
      </c>
      <c r="I38" s="29">
        <f t="shared" ref="I38:I39" si="18">G38</f>
        <v>57500</v>
      </c>
    </row>
    <row r="39" spans="1:35" ht="15.75" customHeight="1">
      <c r="A39" s="2"/>
      <c r="B39" s="2"/>
      <c r="C39" s="2" t="s">
        <v>31</v>
      </c>
      <c r="D39" s="2">
        <f t="shared" si="16"/>
        <v>50</v>
      </c>
      <c r="E39" s="6"/>
      <c r="F39" s="6">
        <v>575</v>
      </c>
      <c r="G39" s="6">
        <f t="shared" si="17"/>
        <v>28750</v>
      </c>
      <c r="H39" s="22"/>
      <c r="I39" s="29">
        <f t="shared" si="18"/>
        <v>28750</v>
      </c>
    </row>
    <row r="40" spans="1:35" ht="15.75" customHeight="1">
      <c r="A40" s="18"/>
      <c r="B40" s="18"/>
      <c r="C40" s="100" t="s">
        <v>145</v>
      </c>
      <c r="D40" s="18">
        <v>220</v>
      </c>
      <c r="E40" s="18">
        <f>D40</f>
        <v>220</v>
      </c>
      <c r="F40" s="18"/>
      <c r="G40" s="20">
        <f>SUM(G41:G42)</f>
        <v>253000</v>
      </c>
      <c r="H40" s="18" t="s">
        <v>140</v>
      </c>
      <c r="I40" s="18"/>
      <c r="J40" s="54">
        <v>0</v>
      </c>
      <c r="K40" s="101">
        <v>0</v>
      </c>
      <c r="M40" s="22"/>
      <c r="N40" s="22"/>
      <c r="O40" s="22"/>
      <c r="P40" s="22"/>
      <c r="Q40" s="22"/>
      <c r="R40" s="22"/>
      <c r="S40" s="22"/>
      <c r="T40" s="22"/>
      <c r="U40" s="22"/>
      <c r="V40" s="22"/>
      <c r="W40" s="22"/>
      <c r="X40" s="22"/>
      <c r="Y40" s="22"/>
      <c r="Z40" s="22"/>
      <c r="AA40" s="22"/>
      <c r="AB40" s="22"/>
      <c r="AC40" s="22"/>
      <c r="AD40" s="22"/>
      <c r="AE40" s="22"/>
      <c r="AF40" s="22"/>
      <c r="AG40" s="22"/>
      <c r="AH40" s="22"/>
      <c r="AI40" s="22"/>
    </row>
    <row r="41" spans="1:35" ht="15.75" customHeight="1">
      <c r="A41" s="2"/>
      <c r="B41" s="2"/>
      <c r="C41" s="2" t="s">
        <v>80</v>
      </c>
      <c r="D41" s="2">
        <f>D40</f>
        <v>220</v>
      </c>
      <c r="E41" s="6"/>
      <c r="F41" s="6">
        <v>1150</v>
      </c>
      <c r="G41" s="6">
        <f t="shared" ref="G41:G42" si="19">D41*F41</f>
        <v>253000</v>
      </c>
      <c r="H41" s="22"/>
      <c r="I41" s="29">
        <f t="shared" ref="I41:I42" si="20">G41</f>
        <v>253000</v>
      </c>
    </row>
    <row r="42" spans="1:35" ht="15.75" customHeight="1">
      <c r="A42" s="2"/>
      <c r="B42" s="2"/>
      <c r="C42" s="2" t="s">
        <v>31</v>
      </c>
      <c r="D42" s="2">
        <v>0</v>
      </c>
      <c r="E42" s="6"/>
      <c r="F42" s="6">
        <v>575</v>
      </c>
      <c r="G42" s="6">
        <f t="shared" si="19"/>
        <v>0</v>
      </c>
      <c r="H42" s="22"/>
      <c r="I42" s="29">
        <f t="shared" si="20"/>
        <v>0</v>
      </c>
    </row>
    <row r="43" spans="1:35" ht="15.75" customHeight="1">
      <c r="A43" s="18"/>
      <c r="B43" s="18"/>
      <c r="C43" s="100" t="s">
        <v>138</v>
      </c>
      <c r="D43" s="18">
        <v>45</v>
      </c>
      <c r="E43" s="18">
        <f>D43</f>
        <v>45</v>
      </c>
      <c r="F43" s="18"/>
      <c r="G43" s="20">
        <f>SUM(G44:G45)</f>
        <v>25875</v>
      </c>
      <c r="H43" s="18" t="s">
        <v>140</v>
      </c>
      <c r="I43" s="18"/>
      <c r="J43" s="54">
        <v>45</v>
      </c>
      <c r="K43" s="101">
        <v>0</v>
      </c>
      <c r="M43" s="22"/>
      <c r="N43" s="22"/>
      <c r="O43" s="22"/>
      <c r="P43" s="22"/>
      <c r="Q43" s="22"/>
      <c r="R43" s="22"/>
      <c r="S43" s="22"/>
      <c r="T43" s="22"/>
      <c r="U43" s="22"/>
      <c r="V43" s="22"/>
      <c r="W43" s="22"/>
      <c r="X43" s="22"/>
      <c r="Y43" s="22"/>
      <c r="Z43" s="22"/>
      <c r="AA43" s="22"/>
      <c r="AB43" s="22"/>
      <c r="AC43" s="22"/>
      <c r="AD43" s="22"/>
      <c r="AE43" s="22"/>
      <c r="AF43" s="22"/>
      <c r="AG43" s="22"/>
      <c r="AH43" s="22"/>
      <c r="AI43" s="22"/>
    </row>
    <row r="44" spans="1:35" ht="15.75" customHeight="1">
      <c r="A44" s="2"/>
      <c r="B44" s="2"/>
      <c r="C44" s="2" t="s">
        <v>80</v>
      </c>
      <c r="D44" s="2">
        <v>0</v>
      </c>
      <c r="E44" s="6"/>
      <c r="F44" s="6">
        <v>1150</v>
      </c>
      <c r="G44" s="6">
        <f t="shared" ref="G44:G45" si="21">D44*F44</f>
        <v>0</v>
      </c>
      <c r="H44" s="22"/>
      <c r="I44" s="29">
        <f t="shared" ref="I44:I45" si="22">G44</f>
        <v>0</v>
      </c>
    </row>
    <row r="45" spans="1:35" ht="15.75" customHeight="1">
      <c r="A45" s="2"/>
      <c r="B45" s="2"/>
      <c r="C45" s="2" t="s">
        <v>31</v>
      </c>
      <c r="D45" s="2">
        <v>45</v>
      </c>
      <c r="E45" s="6"/>
      <c r="F45" s="6">
        <v>575</v>
      </c>
      <c r="G45" s="6">
        <f t="shared" si="21"/>
        <v>25875</v>
      </c>
      <c r="H45" s="22"/>
      <c r="I45" s="29">
        <f t="shared" si="22"/>
        <v>25875</v>
      </c>
    </row>
    <row r="46" spans="1:35" ht="15.75" customHeight="1">
      <c r="A46" s="18"/>
      <c r="B46" s="18"/>
      <c r="C46" s="102" t="s">
        <v>146</v>
      </c>
      <c r="D46" s="18">
        <f>D48</f>
        <v>25</v>
      </c>
      <c r="E46" s="18">
        <f>D46</f>
        <v>25</v>
      </c>
      <c r="F46" s="18"/>
      <c r="G46" s="20">
        <f>SUM(G47:G48)</f>
        <v>14375</v>
      </c>
      <c r="H46" s="18" t="s">
        <v>140</v>
      </c>
      <c r="I46" s="18"/>
      <c r="J46" s="54">
        <v>0</v>
      </c>
      <c r="K46" s="101">
        <v>25</v>
      </c>
      <c r="M46" s="22"/>
      <c r="N46" s="22"/>
      <c r="O46" s="22"/>
      <c r="P46" s="22"/>
      <c r="Q46" s="22"/>
      <c r="R46" s="22"/>
      <c r="S46" s="22"/>
      <c r="T46" s="22"/>
      <c r="U46" s="22"/>
      <c r="V46" s="22"/>
      <c r="W46" s="22"/>
      <c r="X46" s="22"/>
      <c r="Y46" s="22"/>
      <c r="Z46" s="22"/>
      <c r="AA46" s="22"/>
      <c r="AB46" s="22"/>
      <c r="AC46" s="22"/>
      <c r="AD46" s="22"/>
      <c r="AE46" s="22"/>
      <c r="AF46" s="22"/>
      <c r="AG46" s="22"/>
      <c r="AH46" s="22"/>
      <c r="AI46" s="22"/>
    </row>
    <row r="47" spans="1:35" ht="15.75" customHeight="1">
      <c r="A47" s="2"/>
      <c r="B47" s="2"/>
      <c r="C47" s="2" t="s">
        <v>80</v>
      </c>
      <c r="D47" s="2">
        <v>0</v>
      </c>
      <c r="E47" s="6"/>
      <c r="F47" s="6">
        <v>1150</v>
      </c>
      <c r="G47" s="6">
        <f t="shared" ref="G47:G48" si="23">D47*F47</f>
        <v>0</v>
      </c>
      <c r="H47" s="22"/>
      <c r="I47" s="29">
        <f t="shared" ref="I47:I48" si="24">G47</f>
        <v>0</v>
      </c>
    </row>
    <row r="48" spans="1:35" ht="15.75" customHeight="1">
      <c r="A48" s="2"/>
      <c r="B48" s="2"/>
      <c r="C48" s="2" t="s">
        <v>31</v>
      </c>
      <c r="D48" s="2">
        <v>25</v>
      </c>
      <c r="E48" s="6"/>
      <c r="F48" s="6">
        <v>575</v>
      </c>
      <c r="G48" s="6">
        <f t="shared" si="23"/>
        <v>14375</v>
      </c>
      <c r="H48" s="22"/>
      <c r="I48" s="29">
        <f t="shared" si="24"/>
        <v>14375</v>
      </c>
    </row>
    <row r="49" spans="1:35" ht="15.75" customHeight="1">
      <c r="A49" s="18"/>
      <c r="B49" s="18"/>
      <c r="C49" s="102" t="s">
        <v>147</v>
      </c>
      <c r="D49" s="18">
        <f>D51</f>
        <v>30</v>
      </c>
      <c r="E49" s="18">
        <f>D49</f>
        <v>30</v>
      </c>
      <c r="F49" s="18"/>
      <c r="G49" s="20">
        <f>SUM(G50:G51)</f>
        <v>17250</v>
      </c>
      <c r="H49" s="18" t="s">
        <v>140</v>
      </c>
      <c r="I49" s="18"/>
      <c r="J49" s="54">
        <v>0</v>
      </c>
      <c r="K49" s="101">
        <v>30</v>
      </c>
      <c r="M49" s="22"/>
      <c r="N49" s="22"/>
      <c r="O49" s="22"/>
      <c r="P49" s="22"/>
      <c r="Q49" s="22"/>
      <c r="R49" s="22"/>
      <c r="S49" s="22"/>
      <c r="T49" s="22"/>
      <c r="U49" s="22"/>
      <c r="V49" s="22"/>
      <c r="W49" s="22"/>
      <c r="X49" s="22"/>
      <c r="Y49" s="22"/>
      <c r="Z49" s="22"/>
      <c r="AA49" s="22"/>
      <c r="AB49" s="22"/>
      <c r="AC49" s="22"/>
      <c r="AD49" s="22"/>
      <c r="AE49" s="22"/>
      <c r="AF49" s="22"/>
      <c r="AG49" s="22"/>
      <c r="AH49" s="22"/>
      <c r="AI49" s="22"/>
    </row>
    <row r="50" spans="1:35" ht="15.75" customHeight="1">
      <c r="A50" s="2"/>
      <c r="B50" s="2"/>
      <c r="C50" s="2" t="s">
        <v>80</v>
      </c>
      <c r="D50" s="2">
        <v>0</v>
      </c>
      <c r="E50" s="6"/>
      <c r="F50" s="6">
        <v>1150</v>
      </c>
      <c r="G50" s="6">
        <f t="shared" ref="G50:G51" si="25">D50*F50</f>
        <v>0</v>
      </c>
      <c r="H50" s="22"/>
      <c r="I50" s="29">
        <f t="shared" ref="I50:I51" si="26">G50</f>
        <v>0</v>
      </c>
    </row>
    <row r="51" spans="1:35" ht="15.75" customHeight="1">
      <c r="A51" s="2"/>
      <c r="B51" s="2"/>
      <c r="C51" s="2" t="s">
        <v>31</v>
      </c>
      <c r="D51" s="2">
        <v>30</v>
      </c>
      <c r="E51" s="6"/>
      <c r="F51" s="6">
        <v>575</v>
      </c>
      <c r="G51" s="6">
        <f t="shared" si="25"/>
        <v>17250</v>
      </c>
      <c r="H51" s="22"/>
      <c r="I51" s="29">
        <f t="shared" si="26"/>
        <v>17250</v>
      </c>
    </row>
    <row r="56" spans="1:35" ht="13">
      <c r="C56" s="2" t="s">
        <v>54</v>
      </c>
      <c r="D56" s="2" t="s">
        <v>55</v>
      </c>
      <c r="E56" s="2" t="s">
        <v>56</v>
      </c>
      <c r="F56" s="2" t="s">
        <v>57</v>
      </c>
      <c r="G56" s="2" t="s">
        <v>126</v>
      </c>
      <c r="H56" s="2" t="s">
        <v>127</v>
      </c>
      <c r="I56" s="2" t="s">
        <v>128</v>
      </c>
      <c r="J56" s="2" t="s">
        <v>148</v>
      </c>
      <c r="K56" s="2" t="s">
        <v>149</v>
      </c>
      <c r="L56" s="2" t="s">
        <v>131</v>
      </c>
      <c r="M56" s="2" t="s">
        <v>52</v>
      </c>
      <c r="N56" s="2" t="s">
        <v>53</v>
      </c>
      <c r="O56" s="2" t="s">
        <v>150</v>
      </c>
      <c r="P56" s="2" t="s">
        <v>57</v>
      </c>
      <c r="Q56" s="2" t="s">
        <v>126</v>
      </c>
      <c r="R56" s="2" t="s">
        <v>127</v>
      </c>
      <c r="S56" s="2" t="s">
        <v>128</v>
      </c>
    </row>
    <row r="57" spans="1:35" ht="16">
      <c r="A57" s="2">
        <v>2022</v>
      </c>
      <c r="B57" s="36" t="s">
        <v>58</v>
      </c>
      <c r="C57" s="103">
        <v>50</v>
      </c>
      <c r="D57" s="43"/>
      <c r="E57" s="42">
        <v>90</v>
      </c>
      <c r="F57" s="43"/>
      <c r="G57" s="42">
        <v>50</v>
      </c>
      <c r="H57" s="43"/>
      <c r="I57" s="43"/>
      <c r="J57" s="43"/>
      <c r="K57" s="42">
        <v>90</v>
      </c>
      <c r="L57" s="43"/>
      <c r="M57" s="43"/>
      <c r="N57" s="42">
        <v>220</v>
      </c>
      <c r="O57" s="36"/>
      <c r="P57" s="36"/>
      <c r="Q57" s="36"/>
      <c r="R57" s="36"/>
      <c r="S57" s="36"/>
      <c r="T57" s="36">
        <f t="shared" ref="T57:T58" si="27">SUM(C57:N57)</f>
        <v>500</v>
      </c>
      <c r="U57" s="40"/>
    </row>
    <row r="58" spans="1:35" ht="16">
      <c r="B58" s="36" t="s">
        <v>59</v>
      </c>
      <c r="C58" s="41"/>
      <c r="D58" s="42">
        <v>50</v>
      </c>
      <c r="E58" s="42">
        <v>40</v>
      </c>
      <c r="F58" s="42">
        <v>40</v>
      </c>
      <c r="G58" s="43"/>
      <c r="H58" s="42">
        <v>60</v>
      </c>
      <c r="I58" s="42"/>
      <c r="J58" s="42"/>
      <c r="K58" s="43"/>
      <c r="L58" s="43">
        <v>40</v>
      </c>
      <c r="M58" s="43">
        <v>50</v>
      </c>
      <c r="N58" s="42">
        <v>50</v>
      </c>
      <c r="O58" s="36"/>
      <c r="P58" s="36"/>
      <c r="Q58" s="36"/>
      <c r="R58" s="36"/>
      <c r="S58" s="36"/>
      <c r="T58" s="36">
        <f t="shared" si="27"/>
        <v>330</v>
      </c>
      <c r="U58" s="40"/>
    </row>
    <row r="59" spans="1:35" ht="16">
      <c r="B59" s="36"/>
      <c r="C59" s="40"/>
      <c r="D59" s="40"/>
      <c r="E59" s="40"/>
      <c r="F59" s="40"/>
      <c r="G59" s="40"/>
      <c r="H59" s="40"/>
      <c r="I59" s="40"/>
      <c r="J59" s="40"/>
      <c r="K59" s="40"/>
      <c r="L59" s="40"/>
      <c r="M59" s="40"/>
      <c r="N59" s="40"/>
      <c r="O59" s="40"/>
      <c r="P59" s="40"/>
      <c r="Q59" s="40"/>
      <c r="R59" s="40"/>
      <c r="S59" s="40"/>
      <c r="T59" s="40"/>
      <c r="U59" s="40"/>
    </row>
    <row r="60" spans="1:35" ht="16">
      <c r="A60" s="2">
        <v>2023</v>
      </c>
      <c r="B60" s="36" t="s">
        <v>58</v>
      </c>
      <c r="C60" s="103"/>
      <c r="D60" s="43"/>
      <c r="E60" s="42"/>
      <c r="F60" s="43"/>
      <c r="G60" s="42"/>
      <c r="H60" s="43"/>
      <c r="I60" s="43"/>
      <c r="J60" s="43"/>
      <c r="K60" s="42"/>
      <c r="L60" s="43"/>
      <c r="M60" s="43"/>
      <c r="N60" s="42"/>
      <c r="O60" s="40"/>
      <c r="P60" s="40"/>
      <c r="Q60" s="40"/>
      <c r="R60" s="40"/>
      <c r="S60" s="40"/>
      <c r="T60" s="40"/>
      <c r="U60" s="40"/>
    </row>
    <row r="61" spans="1:35" ht="16">
      <c r="B61" s="36" t="s">
        <v>59</v>
      </c>
      <c r="C61" s="41"/>
      <c r="D61" s="42"/>
      <c r="E61" s="42"/>
      <c r="F61" s="42">
        <v>45</v>
      </c>
      <c r="G61" s="43">
        <v>25</v>
      </c>
      <c r="H61" s="42"/>
      <c r="I61" s="42">
        <v>60</v>
      </c>
      <c r="J61" s="42">
        <v>40</v>
      </c>
      <c r="K61" s="43"/>
      <c r="L61" s="43">
        <v>50</v>
      </c>
      <c r="M61" s="43">
        <v>25</v>
      </c>
      <c r="N61" s="42">
        <v>85</v>
      </c>
      <c r="O61" s="40"/>
      <c r="P61" s="40"/>
      <c r="Q61" s="40"/>
      <c r="R61" s="40"/>
      <c r="S61" s="40"/>
      <c r="T61" s="40">
        <f>SUM(B61:S61)</f>
        <v>330</v>
      </c>
      <c r="U61" s="40"/>
    </row>
    <row r="62" spans="1:35" ht="16">
      <c r="B62" s="36"/>
      <c r="C62" s="40"/>
      <c r="D62" s="40"/>
      <c r="E62" s="40"/>
      <c r="F62" s="40"/>
      <c r="G62" s="40"/>
      <c r="H62" s="40"/>
      <c r="I62" s="40"/>
      <c r="J62" s="40"/>
      <c r="K62" s="40"/>
      <c r="L62" s="40"/>
      <c r="M62" s="40"/>
      <c r="N62" s="40"/>
      <c r="O62" s="40"/>
      <c r="P62" s="40"/>
      <c r="Q62" s="40"/>
      <c r="R62" s="40"/>
      <c r="S62" s="40"/>
      <c r="T62" s="40"/>
      <c r="U62" s="40"/>
    </row>
    <row r="63" spans="1:35" ht="16">
      <c r="A63" s="2">
        <v>2024</v>
      </c>
      <c r="B63" s="36" t="s">
        <v>58</v>
      </c>
      <c r="C63" s="103"/>
      <c r="D63" s="43"/>
      <c r="E63" s="42"/>
      <c r="F63" s="43"/>
      <c r="G63" s="42"/>
      <c r="H63" s="43"/>
      <c r="I63" s="43"/>
      <c r="J63" s="43"/>
      <c r="K63" s="42"/>
      <c r="L63" s="43"/>
      <c r="M63" s="43"/>
      <c r="N63" s="42"/>
      <c r="O63" s="40"/>
      <c r="P63" s="40"/>
      <c r="Q63" s="40"/>
      <c r="R63" s="40"/>
      <c r="S63" s="40"/>
      <c r="T63" s="40"/>
      <c r="U63" s="40"/>
    </row>
    <row r="64" spans="1:35" ht="16">
      <c r="B64" s="36" t="s">
        <v>59</v>
      </c>
      <c r="C64" s="41">
        <v>65</v>
      </c>
      <c r="D64" s="42"/>
      <c r="E64" s="42"/>
      <c r="F64" s="42"/>
      <c r="G64" s="43"/>
      <c r="H64" s="42"/>
      <c r="I64" s="42"/>
      <c r="J64" s="42"/>
      <c r="K64" s="43"/>
      <c r="L64" s="43"/>
      <c r="M64" s="43"/>
      <c r="N64" s="42"/>
      <c r="O64" s="40"/>
      <c r="P64" s="40"/>
      <c r="Q64" s="40"/>
      <c r="R64" s="40"/>
      <c r="S64" s="40"/>
      <c r="T64" s="40"/>
      <c r="U64" s="40"/>
    </row>
    <row r="65" spans="2:21" ht="16">
      <c r="B65" s="36"/>
      <c r="C65" s="40"/>
      <c r="D65" s="40"/>
      <c r="E65" s="40"/>
      <c r="F65" s="40"/>
      <c r="G65" s="40"/>
      <c r="H65" s="40"/>
      <c r="I65" s="40"/>
      <c r="J65" s="40"/>
      <c r="K65" s="40"/>
      <c r="L65" s="40"/>
      <c r="M65" s="40"/>
      <c r="N65" s="40"/>
      <c r="O65" s="40"/>
      <c r="P65" s="40"/>
      <c r="Q65" s="40"/>
      <c r="R65" s="40"/>
      <c r="S65" s="40"/>
      <c r="T65" s="40"/>
      <c r="U65" s="40"/>
    </row>
    <row r="66" spans="2:21" ht="16">
      <c r="B66" s="36" t="s">
        <v>60</v>
      </c>
      <c r="C66" s="44">
        <f t="shared" ref="C66:N66" si="28">C$57*(2300*0.5)</f>
        <v>57500</v>
      </c>
      <c r="D66" s="44">
        <f t="shared" si="28"/>
        <v>0</v>
      </c>
      <c r="E66" s="44">
        <f t="shared" si="28"/>
        <v>103500</v>
      </c>
      <c r="F66" s="44">
        <f t="shared" si="28"/>
        <v>0</v>
      </c>
      <c r="G66" s="44">
        <f t="shared" si="28"/>
        <v>57500</v>
      </c>
      <c r="H66" s="44">
        <f t="shared" si="28"/>
        <v>0</v>
      </c>
      <c r="I66" s="44">
        <f t="shared" si="28"/>
        <v>0</v>
      </c>
      <c r="J66" s="44">
        <f t="shared" si="28"/>
        <v>0</v>
      </c>
      <c r="K66" s="44">
        <f t="shared" si="28"/>
        <v>103500</v>
      </c>
      <c r="L66" s="44">
        <f t="shared" si="28"/>
        <v>0</v>
      </c>
      <c r="M66" s="44">
        <f t="shared" si="28"/>
        <v>0</v>
      </c>
      <c r="N66" s="44">
        <f t="shared" si="28"/>
        <v>253000</v>
      </c>
      <c r="O66" s="36"/>
      <c r="P66" s="36"/>
      <c r="Q66" s="36"/>
      <c r="R66" s="36"/>
      <c r="S66" s="36"/>
      <c r="T66" s="46">
        <f t="shared" ref="T66:T68" si="29">SUM(C66:N66)</f>
        <v>575000</v>
      </c>
      <c r="U66" s="47"/>
    </row>
    <row r="67" spans="2:21" ht="16">
      <c r="B67" s="36" t="s">
        <v>61</v>
      </c>
      <c r="C67" s="44">
        <f t="shared" ref="C67:N67" si="30">C$57*(2300*0.25)</f>
        <v>28750</v>
      </c>
      <c r="D67" s="44">
        <f t="shared" si="30"/>
        <v>0</v>
      </c>
      <c r="E67" s="44">
        <f t="shared" si="30"/>
        <v>51750</v>
      </c>
      <c r="F67" s="44">
        <f t="shared" si="30"/>
        <v>0</v>
      </c>
      <c r="G67" s="44">
        <f t="shared" si="30"/>
        <v>28750</v>
      </c>
      <c r="H67" s="44">
        <f t="shared" si="30"/>
        <v>0</v>
      </c>
      <c r="I67" s="44">
        <f t="shared" si="30"/>
        <v>0</v>
      </c>
      <c r="J67" s="44">
        <f t="shared" si="30"/>
        <v>0</v>
      </c>
      <c r="K67" s="44">
        <f t="shared" si="30"/>
        <v>51750</v>
      </c>
      <c r="L67" s="44">
        <f t="shared" si="30"/>
        <v>0</v>
      </c>
      <c r="M67" s="44">
        <f t="shared" si="30"/>
        <v>0</v>
      </c>
      <c r="N67" s="44">
        <f t="shared" si="30"/>
        <v>126500</v>
      </c>
      <c r="O67" s="36"/>
      <c r="P67" s="36"/>
      <c r="Q67" s="36"/>
      <c r="R67" s="36"/>
      <c r="S67" s="36"/>
      <c r="T67" s="46">
        <f t="shared" si="29"/>
        <v>287500</v>
      </c>
      <c r="U67" s="48"/>
    </row>
    <row r="68" spans="2:21" ht="16">
      <c r="B68" s="36" t="s">
        <v>62</v>
      </c>
      <c r="C68" s="44">
        <f t="shared" ref="C68:N68" si="31">C$58*(2300*0.25)</f>
        <v>0</v>
      </c>
      <c r="D68" s="44">
        <f t="shared" si="31"/>
        <v>28750</v>
      </c>
      <c r="E68" s="44">
        <f t="shared" si="31"/>
        <v>23000</v>
      </c>
      <c r="F68" s="44">
        <f t="shared" si="31"/>
        <v>23000</v>
      </c>
      <c r="G68" s="44">
        <f t="shared" si="31"/>
        <v>0</v>
      </c>
      <c r="H68" s="44">
        <f t="shared" si="31"/>
        <v>34500</v>
      </c>
      <c r="I68" s="44">
        <f t="shared" si="31"/>
        <v>0</v>
      </c>
      <c r="J68" s="44">
        <f t="shared" si="31"/>
        <v>0</v>
      </c>
      <c r="K68" s="44">
        <f t="shared" si="31"/>
        <v>0</v>
      </c>
      <c r="L68" s="44">
        <f t="shared" si="31"/>
        <v>23000</v>
      </c>
      <c r="M68" s="44">
        <f t="shared" si="31"/>
        <v>28750</v>
      </c>
      <c r="N68" s="44">
        <f t="shared" si="31"/>
        <v>28750</v>
      </c>
      <c r="O68" s="36"/>
      <c r="P68" s="36"/>
      <c r="Q68" s="36"/>
      <c r="R68" s="36"/>
      <c r="S68" s="36"/>
      <c r="T68" s="46">
        <f t="shared" si="29"/>
        <v>189750</v>
      </c>
      <c r="U68" s="49">
        <f>SUM(T66:T68)</f>
        <v>1052250</v>
      </c>
    </row>
    <row r="69" spans="2:21" ht="16">
      <c r="B69" s="36"/>
      <c r="C69" s="48"/>
      <c r="D69" s="48"/>
      <c r="E69" s="48"/>
      <c r="F69" s="48"/>
      <c r="G69" s="48"/>
      <c r="H69" s="48"/>
      <c r="I69" s="48"/>
      <c r="J69" s="48"/>
      <c r="K69" s="48"/>
      <c r="L69" s="48"/>
      <c r="M69" s="48"/>
      <c r="N69" s="48"/>
      <c r="O69" s="48"/>
      <c r="P69" s="48"/>
      <c r="Q69" s="48"/>
      <c r="R69" s="48"/>
      <c r="S69" s="48"/>
      <c r="T69" s="48"/>
      <c r="U69" s="48"/>
    </row>
    <row r="70" spans="2:21" ht="16">
      <c r="B70" s="36" t="s">
        <v>63</v>
      </c>
      <c r="C70" s="50">
        <v>287500</v>
      </c>
      <c r="D70" s="50">
        <v>86250</v>
      </c>
      <c r="E70" s="50">
        <v>155250</v>
      </c>
      <c r="F70" s="50"/>
      <c r="G70" s="50">
        <v>86250</v>
      </c>
      <c r="H70" s="50"/>
      <c r="I70" s="50"/>
      <c r="J70" s="50"/>
      <c r="K70" s="50">
        <v>155250</v>
      </c>
      <c r="L70" s="50"/>
      <c r="M70" s="50"/>
      <c r="N70" s="50">
        <v>253000</v>
      </c>
      <c r="O70" s="36"/>
      <c r="P70" s="36"/>
      <c r="Q70" s="36"/>
      <c r="R70" s="36"/>
      <c r="S70" s="36"/>
      <c r="T70" s="46">
        <f>SUM(C70:N70)</f>
        <v>1023500</v>
      </c>
      <c r="U70" s="51">
        <f>T70-U68</f>
        <v>-28750</v>
      </c>
    </row>
    <row r="71" spans="2:21" ht="16">
      <c r="B71" s="36"/>
      <c r="C71" s="48"/>
      <c r="D71" s="48"/>
      <c r="E71" s="48"/>
      <c r="F71" s="48"/>
      <c r="G71" s="48"/>
      <c r="H71" s="48"/>
      <c r="I71" s="48"/>
      <c r="J71" s="48"/>
      <c r="K71" s="48"/>
      <c r="L71" s="48"/>
      <c r="M71" s="48"/>
      <c r="N71" s="48"/>
      <c r="O71" s="48"/>
      <c r="P71" s="48"/>
      <c r="Q71" s="48"/>
      <c r="R71" s="48"/>
      <c r="S71" s="48"/>
      <c r="T71" s="48"/>
      <c r="U71" s="48"/>
    </row>
    <row r="72" spans="2:21" ht="16">
      <c r="B72" s="36" t="s">
        <v>64</v>
      </c>
      <c r="C72" s="52">
        <f t="shared" ref="C72:N72" si="32">IF(C$58&gt;0,C$58*(2300*0.25),0)</f>
        <v>0</v>
      </c>
      <c r="D72" s="52">
        <f t="shared" si="32"/>
        <v>28750</v>
      </c>
      <c r="E72" s="52">
        <f t="shared" si="32"/>
        <v>23000</v>
      </c>
      <c r="F72" s="52">
        <f t="shared" si="32"/>
        <v>23000</v>
      </c>
      <c r="G72" s="52">
        <f t="shared" si="32"/>
        <v>0</v>
      </c>
      <c r="H72" s="52">
        <f t="shared" si="32"/>
        <v>34500</v>
      </c>
      <c r="I72" s="52">
        <f t="shared" si="32"/>
        <v>0</v>
      </c>
      <c r="J72" s="52">
        <f t="shared" si="32"/>
        <v>0</v>
      </c>
      <c r="K72" s="52">
        <f t="shared" si="32"/>
        <v>0</v>
      </c>
      <c r="L72" s="52">
        <f t="shared" si="32"/>
        <v>23000</v>
      </c>
      <c r="M72" s="52">
        <f t="shared" si="32"/>
        <v>28750</v>
      </c>
      <c r="N72" s="52">
        <f t="shared" si="32"/>
        <v>28750</v>
      </c>
      <c r="O72" s="36"/>
      <c r="P72" s="36"/>
      <c r="Q72" s="36"/>
      <c r="R72" s="36"/>
      <c r="S72" s="36"/>
      <c r="T72" s="46">
        <f t="shared" ref="T72:T74" si="33">SUM(C72:N72)</f>
        <v>189750</v>
      </c>
      <c r="U72" s="48"/>
    </row>
    <row r="73" spans="2:21" ht="16">
      <c r="B73" s="36" t="s">
        <v>65</v>
      </c>
      <c r="C73" s="52">
        <f t="shared" ref="C73:N73" si="34">IF(C$58&gt;0,C$58*(2300*0.5),0)</f>
        <v>0</v>
      </c>
      <c r="D73" s="52">
        <f t="shared" si="34"/>
        <v>57500</v>
      </c>
      <c r="E73" s="52">
        <f t="shared" si="34"/>
        <v>46000</v>
      </c>
      <c r="F73" s="52">
        <f t="shared" si="34"/>
        <v>46000</v>
      </c>
      <c r="G73" s="52">
        <f t="shared" si="34"/>
        <v>0</v>
      </c>
      <c r="H73" s="52">
        <f t="shared" si="34"/>
        <v>69000</v>
      </c>
      <c r="I73" s="52">
        <f t="shared" si="34"/>
        <v>0</v>
      </c>
      <c r="J73" s="52">
        <f t="shared" si="34"/>
        <v>0</v>
      </c>
      <c r="K73" s="52">
        <f t="shared" si="34"/>
        <v>0</v>
      </c>
      <c r="L73" s="52">
        <f t="shared" si="34"/>
        <v>46000</v>
      </c>
      <c r="M73" s="52">
        <f t="shared" si="34"/>
        <v>57500</v>
      </c>
      <c r="N73" s="52">
        <f t="shared" si="34"/>
        <v>57500</v>
      </c>
      <c r="O73" s="36"/>
      <c r="P73" s="36"/>
      <c r="Q73" s="36"/>
      <c r="R73" s="36"/>
      <c r="S73" s="36"/>
      <c r="T73" s="46">
        <f t="shared" si="33"/>
        <v>379500</v>
      </c>
      <c r="U73" s="47"/>
    </row>
    <row r="74" spans="2:21" ht="16">
      <c r="B74" s="36" t="s">
        <v>62</v>
      </c>
      <c r="C74" s="52">
        <f t="shared" ref="C74:N74" si="35">IF(C$58&gt;0,C$58*(2300*0.25),0)</f>
        <v>0</v>
      </c>
      <c r="D74" s="52">
        <f t="shared" si="35"/>
        <v>28750</v>
      </c>
      <c r="E74" s="52">
        <f t="shared" si="35"/>
        <v>23000</v>
      </c>
      <c r="F74" s="52">
        <f t="shared" si="35"/>
        <v>23000</v>
      </c>
      <c r="G74" s="52">
        <f t="shared" si="35"/>
        <v>0</v>
      </c>
      <c r="H74" s="52">
        <f t="shared" si="35"/>
        <v>34500</v>
      </c>
      <c r="I74" s="52">
        <f t="shared" si="35"/>
        <v>0</v>
      </c>
      <c r="J74" s="52">
        <f t="shared" si="35"/>
        <v>0</v>
      </c>
      <c r="K74" s="52">
        <f t="shared" si="35"/>
        <v>0</v>
      </c>
      <c r="L74" s="52">
        <f t="shared" si="35"/>
        <v>23000</v>
      </c>
      <c r="M74" s="52">
        <f t="shared" si="35"/>
        <v>28750</v>
      </c>
      <c r="N74" s="52">
        <f t="shared" si="35"/>
        <v>28750</v>
      </c>
      <c r="O74" s="36"/>
      <c r="P74" s="36"/>
      <c r="Q74" s="36"/>
      <c r="R74" s="36"/>
      <c r="S74" s="36"/>
      <c r="T74" s="46">
        <f t="shared" si="33"/>
        <v>189750</v>
      </c>
      <c r="U74" s="49">
        <f>SUM(T72:T74)</f>
        <v>759000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PO 2025 1H (200 cameras, 16 Nod</vt:lpstr>
      <vt:lpstr>PO 23-24 500</vt:lpstr>
      <vt:lpstr>33122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Campbell</cp:lastModifiedBy>
  <dcterms:modified xsi:type="dcterms:W3CDTF">2026-02-22T08:54:03Z</dcterms:modified>
</cp:coreProperties>
</file>